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990" tabRatio="794" firstSheet="3" activeTab="0" autoFilterDateGrouping="1"/>
  </bookViews>
  <sheets>
    <sheet xmlns:r="http://schemas.openxmlformats.org/officeDocument/2006/relationships" name="ภาพรวมการใช้ห้อง" sheetId="1" state="visible" r:id="rId1"/>
    <sheet xmlns:r="http://schemas.openxmlformats.org/officeDocument/2006/relationships" name="ห้อง ยธ.1-102 2-69" sheetId="2" state="visible" r:id="rId2"/>
    <sheet xmlns:r="http://schemas.openxmlformats.org/officeDocument/2006/relationships" name="ห้อง ยธ.1-201 2-69" sheetId="3" state="visible" r:id="rId3"/>
    <sheet xmlns:r="http://schemas.openxmlformats.org/officeDocument/2006/relationships" name="ห้อง ยธ.1-202 2-69" sheetId="4" state="visible" r:id="rId4"/>
    <sheet xmlns:r="http://schemas.openxmlformats.org/officeDocument/2006/relationships" name="ห้อง ยธ.4-203 2-69" sheetId="5" state="visible" r:id="rId5"/>
    <sheet xmlns:r="http://schemas.openxmlformats.org/officeDocument/2006/relationships" name="LAB Concrete 2-69" sheetId="6" state="visible" r:id="rId6"/>
    <sheet xmlns:r="http://schemas.openxmlformats.org/officeDocument/2006/relationships" name="LAB Highway 2-69" sheetId="7" state="visible" r:id="rId7"/>
    <sheet xmlns:r="http://schemas.openxmlformats.org/officeDocument/2006/relationships" name="LAB Soil 2-69" sheetId="8" state="visible" r:id="rId8"/>
    <sheet xmlns:r="http://schemas.openxmlformats.org/officeDocument/2006/relationships" name="LAB Workshop 2-69" sheetId="9" state="visible" r:id="rId9"/>
    <sheet xmlns:r="http://schemas.openxmlformats.org/officeDocument/2006/relationships" name="LAB Surveying 2-69" sheetId="10" state="visible" r:id="rId10"/>
    <sheet xmlns:r="http://schemas.openxmlformats.org/officeDocument/2006/relationships" name="LAB Hydraulic 2-69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color rgb="FF000000"/>
      <sz val="11"/>
    </font>
    <font>
      <name val="Tahoma"/>
      <charset val="222"/>
      <family val="2"/>
      <color theme="1"/>
      <sz val="11"/>
      <scheme val="minor"/>
    </font>
    <font>
      <name val="AngsanaUPC"/>
      <family val="1"/>
      <color rgb="FF000000"/>
      <sz val="12"/>
    </font>
    <font>
      <name val="AngsanaUPC"/>
      <family val="1"/>
      <b val="1"/>
      <color rgb="FF000000"/>
      <sz val="14"/>
    </font>
    <font>
      <name val="AngsanaUPC"/>
      <family val="1"/>
      <color rgb="FF000000"/>
      <sz val="9"/>
    </font>
    <font>
      <name val="AngsanaUPC"/>
      <family val="1"/>
      <color rgb="FF000000"/>
      <sz val="10"/>
    </font>
    <font>
      <name val="Calibri"/>
      <family val="2"/>
      <color rgb="FF000000"/>
      <sz val="11"/>
    </font>
    <font>
      <name val="AngsanaUPC"/>
      <family val="1"/>
      <color rgb="FF000000"/>
      <sz val="11"/>
    </font>
    <font>
      <name val="AngsanaUPC"/>
      <family val="1"/>
      <color rgb="FF000000"/>
      <sz val="14"/>
    </font>
    <font>
      <name val="AngsanaUPC"/>
      <family val="1"/>
      <color rgb="FF000000"/>
      <sz val="16"/>
    </font>
    <font>
      <name val="AngsanaUPC"/>
      <family val="1"/>
      <color rgb="FF000000"/>
      <sz val="18"/>
    </font>
    <font>
      <name val="Cordia New"/>
      <family val="2"/>
      <sz val="14"/>
    </font>
    <font>
      <name val="AngsanaUPC"/>
      <charset val="222"/>
      <family val="1"/>
      <sz val="11"/>
    </font>
    <font>
      <name val="AngsanaUPC"/>
      <charset val="222"/>
      <family val="1"/>
      <color theme="1"/>
      <sz val="12"/>
    </font>
    <font>
      <name val="AngsanaUPC"/>
      <family val="1"/>
      <color rgb="FFFF0000"/>
      <sz val="12"/>
    </font>
    <font>
      <name val="AngsanaUPC"/>
      <family val="1"/>
      <color rgb="FFFF0000"/>
      <sz val="14"/>
    </font>
    <font>
      <name val="AngsanaUPC"/>
      <charset val="222"/>
      <family val="1"/>
      <color theme="1"/>
      <sz val="11"/>
    </font>
    <font>
      <name val="TH SarabunPSK"/>
      <family val="2"/>
      <color rgb="FF000000"/>
      <sz val="12"/>
    </font>
    <font>
      <name val="TH SarabunPSK"/>
      <family val="2"/>
      <color rgb="FF000000"/>
      <sz val="11"/>
    </font>
    <font>
      <name val="TH SarabunPSK"/>
      <family val="2"/>
      <color theme="1"/>
      <sz val="12"/>
    </font>
    <font>
      <name val="TH SarabunPSK"/>
      <family val="2"/>
      <color theme="1"/>
      <sz val="10"/>
    </font>
    <font>
      <name val="TH SarabunPSK"/>
      <family val="2"/>
      <sz val="12"/>
    </font>
    <font>
      <name val="TH SarabunPSK"/>
      <family val="2"/>
      <b val="1"/>
      <color rgb="FF000000"/>
      <sz val="14"/>
    </font>
    <font>
      <name val="TH SarabunPSK"/>
      <family val="2"/>
      <color rgb="FF000000"/>
      <sz val="9"/>
    </font>
    <font>
      <name val="TH SarabunPSK"/>
      <family val="2"/>
      <color rgb="FF000000"/>
      <sz val="10"/>
    </font>
    <font>
      <name val="TH SarabunPSK"/>
      <family val="2"/>
      <b val="1"/>
      <color rgb="FF000000"/>
      <sz val="20"/>
    </font>
    <font>
      <name val="AngsanaUPC"/>
      <family val="1"/>
      <color rgb="FF000000"/>
      <sz val="16"/>
    </font>
    <font>
      <name val="AngsanaUPC"/>
      <family val="1"/>
      <color rgb="FFFF0000"/>
      <sz val="16"/>
    </font>
    <font>
      <name val="AngsanaUPC"/>
      <family val="1"/>
      <sz val="16"/>
    </font>
    <font>
      <name val="AngsanaUPC"/>
      <charset val="222"/>
      <family val="1"/>
      <sz val="16"/>
    </font>
    <font>
      <name val="AngsanaUPC"/>
      <family val="1"/>
      <sz val="12"/>
    </font>
    <font>
      <name val="AngsanaUPC"/>
      <charset val="222"/>
      <family val="1"/>
      <sz val="12"/>
    </font>
    <font>
      <name val="AngsanaUPC"/>
      <family val="1"/>
      <sz val="12"/>
    </font>
    <font>
      <name val="Calibri"/>
      <charset val="222"/>
      <family val="2"/>
      <color indexed="8"/>
      <sz val="11"/>
    </font>
    <font>
      <name val="Tahoma"/>
      <family val="2"/>
      <color theme="1"/>
      <sz val="12"/>
      <scheme val="minor"/>
    </font>
    <font>
      <name val="Arial"/>
      <family val="2"/>
      <sz val="10"/>
    </font>
    <font>
      <name val="TH SarabunPSK"/>
      <family val="2"/>
      <color theme="1"/>
      <sz val="11"/>
    </font>
    <font>
      <name val="AngsanaUPC"/>
      <family val="1"/>
      <color theme="1"/>
      <sz val="16"/>
    </font>
    <font>
      <name val="TH SarabunPSK"/>
      <charset val="222"/>
      <family val="2"/>
      <color theme="1"/>
      <sz val="12"/>
    </font>
    <font>
      <name val="TH SarabunPSK"/>
      <charset val="222"/>
      <family val="2"/>
      <b val="1"/>
      <color theme="1"/>
      <sz val="14"/>
    </font>
    <font>
      <name val="TH SarabunPSK"/>
      <charset val="222"/>
      <family val="2"/>
      <b val="1"/>
      <color theme="1"/>
      <sz val="20"/>
    </font>
    <font>
      <name val="TH SarabunPSK"/>
      <charset val="222"/>
      <family val="2"/>
      <color theme="1"/>
      <sz val="9"/>
    </font>
    <font>
      <name val="AngsanaUPC"/>
      <charset val="222"/>
      <family val="1"/>
      <color theme="1"/>
      <sz val="16"/>
    </font>
    <font>
      <name val="AngsanaUPC"/>
      <sz val="12"/>
    </font>
    <font>
      <name val="AngsanaUPC"/>
      <sz val="11"/>
    </font>
    <font>
      <name val="AngsanaUPC"/>
      <b val="1"/>
      <sz val="20"/>
    </font>
    <font>
      <name val="TH SarabunPSK"/>
      <b val="1"/>
      <sz val="14"/>
    </font>
    <font>
      <name val="TH SarabunPSK"/>
      <sz val="14"/>
    </font>
    <font>
      <name val="TH SarabunPSK"/>
      <b val="1"/>
      <sz val="16"/>
    </font>
    <font>
      <name val="AngsanaUPC"/>
      <sz val="14"/>
    </font>
    <font>
      <name val="AngsanaUPC"/>
      <b val="1"/>
      <sz val="14"/>
    </font>
    <font>
      <name val="AngsanaUPC"/>
      <b val="1"/>
      <sz val="16"/>
    </font>
    <font>
      <name val="AngsanaUPC"/>
      <i val="1"/>
      <sz val="12"/>
    </font>
    <font>
      <name val="AngsanaUPC"/>
      <sz val="13"/>
    </font>
  </fonts>
  <fills count="31">
    <fill>
      <patternFill/>
    </fill>
    <fill>
      <patternFill patternType="gray125"/>
    </fill>
    <fill>
      <patternFill patternType="solid">
        <fgColor rgb="FFD8CEF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FBAD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1CDFF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CCE9AD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6FF97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D9E1F2"/>
      </patternFill>
    </fill>
    <fill>
      <patternFill patternType="solid">
        <fgColor rgb="FFD8CEF6"/>
      </patternFill>
    </fill>
    <fill>
      <patternFill patternType="solid">
        <fgColor rgb="FFF4CCCC"/>
      </patternFill>
    </fill>
  </fills>
  <borders count="6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22">
    <xf numFmtId="0" fontId="0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1" fillId="0" borderId="0"/>
    <xf numFmtId="43" fontId="33" fillId="0" borderId="0"/>
    <xf numFmtId="0" fontId="6" fillId="0" borderId="0"/>
    <xf numFmtId="0" fontId="34" fillId="0" borderId="0"/>
    <xf numFmtId="0" fontId="33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1" fillId="0" borderId="0"/>
    <xf numFmtId="0" fontId="11" fillId="0" borderId="0"/>
  </cellStyleXfs>
  <cellXfs count="1175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17" fillId="0" borderId="4" pivotButton="0" quotePrefix="0" xfId="0"/>
    <xf numFmtId="0" fontId="22" fillId="0" borderId="1" pivotButton="0" quotePrefix="0" xfId="0"/>
    <xf numFmtId="0" fontId="17" fillId="0" borderId="1" pivotButton="0" quotePrefix="0" xfId="0"/>
    <xf numFmtId="0" fontId="17" fillId="0" borderId="2" pivotButton="0" quotePrefix="0" xfId="0"/>
    <xf numFmtId="0" fontId="17" fillId="0" borderId="9" applyAlignment="1" pivotButton="0" quotePrefix="0" xfId="0">
      <alignment horizontal="center" vertical="center"/>
    </xf>
    <xf numFmtId="0" fontId="18" fillId="0" borderId="0" pivotButton="0" quotePrefix="0" xfId="0"/>
    <xf numFmtId="0" fontId="17" fillId="0" borderId="5" pivotButton="0" quotePrefix="0" xfId="0"/>
    <xf numFmtId="0" fontId="17" fillId="0" borderId="0" pivotButton="0" quotePrefix="0" xfId="0"/>
    <xf numFmtId="0" fontId="17" fillId="0" borderId="3" pivotButton="0" quotePrefix="0" xfId="0"/>
    <xf numFmtId="0" fontId="17" fillId="0" borderId="9" applyAlignment="1" pivotButton="0" quotePrefix="0" xfId="0">
      <alignment horizontal="center"/>
    </xf>
    <xf numFmtId="0" fontId="17" fillId="0" borderId="6" pivotButton="0" quotePrefix="0" xfId="0"/>
    <xf numFmtId="0" fontId="17" fillId="0" borderId="7" pivotButton="0" quotePrefix="0" xfId="0"/>
    <xf numFmtId="0" fontId="17" fillId="0" borderId="8" pivotButton="0" quotePrefix="0" xfId="0"/>
    <xf numFmtId="0" fontId="2" fillId="8" borderId="9" pivotButton="0" quotePrefix="0" xfId="0"/>
    <xf numFmtId="0" fontId="2" fillId="0" borderId="9" pivotButton="0" quotePrefix="0" xfId="3"/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17" fillId="0" borderId="9" pivotButton="0" quotePrefix="0" xfId="0"/>
    <xf numFmtId="0" fontId="19" fillId="0" borderId="4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49" fontId="32" fillId="11" borderId="14" applyAlignment="1" pivotButton="0" quotePrefix="0" xfId="4">
      <alignment horizontal="center" vertical="center" wrapText="1"/>
    </xf>
    <xf numFmtId="49" fontId="31" fillId="11" borderId="15" applyAlignment="1" pivotButton="0" quotePrefix="0" xfId="4">
      <alignment horizontal="center" vertical="center" wrapText="1"/>
    </xf>
    <xf numFmtId="49" fontId="31" fillId="11" borderId="21" applyAlignment="1" pivotButton="0" quotePrefix="0" xfId="4">
      <alignment horizontal="center" vertical="center" wrapText="1"/>
    </xf>
    <xf numFmtId="49" fontId="31" fillId="11" borderId="17" applyAlignment="1" pivotButton="0" quotePrefix="0" xfId="4">
      <alignment horizontal="center" vertical="center" wrapText="1"/>
    </xf>
    <xf numFmtId="49" fontId="31" fillId="11" borderId="0" applyAlignment="1" pivotButton="0" quotePrefix="0" xfId="4">
      <alignment horizontal="center" vertical="center" wrapText="1"/>
    </xf>
    <xf numFmtId="49" fontId="31" fillId="11" borderId="12" applyAlignment="1" pivotButton="0" quotePrefix="0" xfId="4">
      <alignment horizontal="center" vertical="center" wrapText="1"/>
    </xf>
    <xf numFmtId="49" fontId="31" fillId="11" borderId="18" applyAlignment="1" pivotButton="0" quotePrefix="0" xfId="4">
      <alignment horizontal="center" vertical="center" wrapText="1"/>
    </xf>
    <xf numFmtId="49" fontId="31" fillId="11" borderId="19" applyAlignment="1" pivotButton="0" quotePrefix="0" xfId="4">
      <alignment horizontal="center" vertical="center" wrapText="1"/>
    </xf>
    <xf numFmtId="49" fontId="31" fillId="11" borderId="26" applyAlignment="1" pivotButton="0" quotePrefix="0" xfId="4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17" fillId="2" borderId="9" applyAlignment="1" pivotButton="0" quotePrefix="0" xfId="0">
      <alignment horizontal="center" vertical="center"/>
    </xf>
    <xf numFmtId="0" fontId="9" fillId="21" borderId="4" applyAlignment="1" pivotButton="0" quotePrefix="0" xfId="3">
      <alignment horizontal="center" vertical="center" wrapText="1"/>
    </xf>
    <xf numFmtId="0" fontId="9" fillId="21" borderId="1" applyAlignment="1" pivotButton="0" quotePrefix="0" xfId="3">
      <alignment horizontal="center" vertical="center" wrapText="1"/>
    </xf>
    <xf numFmtId="0" fontId="9" fillId="21" borderId="2" applyAlignment="1" pivotButton="0" quotePrefix="0" xfId="3">
      <alignment horizontal="center" vertical="center" wrapText="1"/>
    </xf>
    <xf numFmtId="0" fontId="9" fillId="21" borderId="5" applyAlignment="1" pivotButton="0" quotePrefix="0" xfId="3">
      <alignment horizontal="center" vertical="center" wrapText="1"/>
    </xf>
    <xf numFmtId="0" fontId="9" fillId="21" borderId="0" applyAlignment="1" pivotButton="0" quotePrefix="0" xfId="3">
      <alignment horizontal="center" vertical="center" wrapText="1"/>
    </xf>
    <xf numFmtId="0" fontId="9" fillId="21" borderId="3" applyAlignment="1" pivotButton="0" quotePrefix="0" xfId="3">
      <alignment horizontal="center" vertical="center" wrapText="1"/>
    </xf>
    <xf numFmtId="0" fontId="9" fillId="21" borderId="6" applyAlignment="1" pivotButton="0" quotePrefix="0" xfId="3">
      <alignment horizontal="center" vertical="center" wrapText="1"/>
    </xf>
    <xf numFmtId="0" fontId="9" fillId="21" borderId="7" applyAlignment="1" pivotButton="0" quotePrefix="0" xfId="3">
      <alignment horizontal="center" vertical="center" wrapText="1"/>
    </xf>
    <xf numFmtId="0" fontId="9" fillId="21" borderId="8" applyAlignment="1" pivotButton="0" quotePrefix="0" xfId="3">
      <alignment horizontal="center" vertical="center" wrapText="1"/>
    </xf>
    <xf numFmtId="0" fontId="26" fillId="21" borderId="4" applyAlignment="1" pivotButton="0" quotePrefix="0" xfId="3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9" fillId="0" borderId="0" applyAlignment="1" pivotButton="0" quotePrefix="0" xfId="3">
      <alignment horizontal="center" vertical="center" wrapText="1"/>
    </xf>
    <xf numFmtId="0" fontId="9" fillId="0" borderId="12" applyAlignment="1" pivotButton="0" quotePrefix="0" xfId="3">
      <alignment horizontal="center" vertical="center" wrapText="1"/>
    </xf>
    <xf numFmtId="0" fontId="9" fillId="0" borderId="7" applyAlignment="1" pivotButton="0" quotePrefix="0" xfId="3">
      <alignment horizontal="center" vertical="center" wrapText="1"/>
    </xf>
    <xf numFmtId="0" fontId="9" fillId="0" borderId="13" applyAlignment="1" pivotButton="0" quotePrefix="0" xfId="3">
      <alignment horizontal="center" vertical="center" wrapText="1"/>
    </xf>
    <xf numFmtId="0" fontId="2" fillId="2" borderId="9" applyAlignment="1" pivotButton="0" quotePrefix="0" xfId="0">
      <alignment horizontal="center" vertical="center"/>
    </xf>
    <xf numFmtId="0" fontId="9" fillId="0" borderId="4" applyAlignment="1" pivotButton="0" quotePrefix="0" xfId="3">
      <alignment horizontal="center" vertical="center" wrapText="1"/>
    </xf>
    <xf numFmtId="0" fontId="9" fillId="0" borderId="1" applyAlignment="1" pivotButton="0" quotePrefix="0" xfId="3">
      <alignment horizontal="center" vertical="center" wrapText="1"/>
    </xf>
    <xf numFmtId="0" fontId="9" fillId="0" borderId="2" applyAlignment="1" pivotButton="0" quotePrefix="0" xfId="3">
      <alignment horizontal="center" vertical="center" wrapText="1"/>
    </xf>
    <xf numFmtId="0" fontId="9" fillId="0" borderId="5" applyAlignment="1" pivotButton="0" quotePrefix="0" xfId="3">
      <alignment horizontal="center" vertical="center" wrapText="1"/>
    </xf>
    <xf numFmtId="0" fontId="9" fillId="0" borderId="3" applyAlignment="1" pivotButton="0" quotePrefix="0" xfId="3">
      <alignment horizontal="center" vertical="center" wrapText="1"/>
    </xf>
    <xf numFmtId="0" fontId="9" fillId="0" borderId="6" applyAlignment="1" pivotButton="0" quotePrefix="0" xfId="3">
      <alignment horizontal="center" vertical="center" wrapText="1"/>
    </xf>
    <xf numFmtId="0" fontId="9" fillId="0" borderId="8" applyAlignment="1" pivotButton="0" quotePrefix="0" xfId="3">
      <alignment horizontal="center" vertical="center" wrapText="1"/>
    </xf>
    <xf numFmtId="0" fontId="8" fillId="0" borderId="4" applyAlignment="1" pivotButton="0" quotePrefix="0" xfId="3">
      <alignment horizontal="center" vertical="center" wrapText="1"/>
    </xf>
    <xf numFmtId="0" fontId="8" fillId="0" borderId="1" applyAlignment="1" pivotButton="0" quotePrefix="0" xfId="3">
      <alignment horizontal="center" vertical="center" wrapText="1"/>
    </xf>
    <xf numFmtId="0" fontId="8" fillId="0" borderId="5" applyAlignment="1" pivotButton="0" quotePrefix="0" xfId="3">
      <alignment horizontal="center" vertical="center" wrapText="1"/>
    </xf>
    <xf numFmtId="0" fontId="8" fillId="0" borderId="0" applyAlignment="1" pivotButton="0" quotePrefix="0" xfId="3">
      <alignment horizontal="center" vertical="center" wrapText="1"/>
    </xf>
    <xf numFmtId="0" fontId="8" fillId="0" borderId="6" applyAlignment="1" pivotButton="0" quotePrefix="0" xfId="3">
      <alignment horizontal="center" vertical="center" wrapText="1"/>
    </xf>
    <xf numFmtId="0" fontId="8" fillId="0" borderId="7" applyAlignment="1" pivotButton="0" quotePrefix="0" xfId="3">
      <alignment horizontal="center" vertical="center" wrapText="1"/>
    </xf>
    <xf numFmtId="0" fontId="23" fillId="0" borderId="9" applyAlignment="1" pivotButton="0" quotePrefix="0" xfId="0">
      <alignment horizontal="center"/>
    </xf>
    <xf numFmtId="0" fontId="17" fillId="0" borderId="9" applyAlignment="1" pivotButton="0" quotePrefix="0" xfId="0">
      <alignment horizontal="center"/>
    </xf>
    <xf numFmtId="0" fontId="17" fillId="0" borderId="10" applyAlignment="1" pivotButton="0" quotePrefix="0" xfId="0">
      <alignment vertical="top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5" pivotButton="0" quotePrefix="0" xfId="0"/>
    <xf numFmtId="0" fontId="2" fillId="0" borderId="0" pivotButton="0" quotePrefix="0" xfId="0"/>
    <xf numFmtId="0" fontId="2" fillId="0" borderId="3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7" fillId="0" borderId="4" pivotButton="0" quotePrefix="0" xfId="0"/>
    <xf numFmtId="0" fontId="17" fillId="0" borderId="2" pivotButton="0" quotePrefix="0" xfId="0"/>
    <xf numFmtId="0" fontId="17" fillId="0" borderId="5" pivotButton="0" quotePrefix="0" xfId="0"/>
    <xf numFmtId="0" fontId="17" fillId="0" borderId="3" pivotButton="0" quotePrefix="0" xfId="0"/>
    <xf numFmtId="0" fontId="17" fillId="0" borderId="6" pivotButton="0" quotePrefix="0" xfId="0"/>
    <xf numFmtId="0" fontId="17" fillId="0" borderId="8" pivotButton="0" quotePrefix="0" xfId="0"/>
    <xf numFmtId="0" fontId="19" fillId="0" borderId="4" applyAlignment="1" pivotButton="0" quotePrefix="0" xfId="0">
      <alignment horizontal="center" wrapText="1"/>
    </xf>
    <xf numFmtId="0" fontId="19" fillId="0" borderId="1" applyAlignment="1" pivotButton="0" quotePrefix="0" xfId="0">
      <alignment horizontal="center" wrapText="1"/>
    </xf>
    <xf numFmtId="0" fontId="19" fillId="0" borderId="2" applyAlignment="1" pivotButton="0" quotePrefix="0" xfId="0">
      <alignment horizontal="center" wrapText="1"/>
    </xf>
    <xf numFmtId="0" fontId="19" fillId="0" borderId="5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3" applyAlignment="1" pivotButton="0" quotePrefix="0" xfId="0">
      <alignment horizontal="center" wrapText="1"/>
    </xf>
    <xf numFmtId="0" fontId="19" fillId="0" borderId="6" applyAlignment="1" pivotButton="0" quotePrefix="0" xfId="0">
      <alignment horizontal="center" wrapText="1"/>
    </xf>
    <xf numFmtId="0" fontId="19" fillId="0" borderId="7" applyAlignment="1" pivotButton="0" quotePrefix="0" xfId="0">
      <alignment horizontal="center" wrapText="1"/>
    </xf>
    <xf numFmtId="0" fontId="19" fillId="0" borderId="8" applyAlignment="1" pivotButton="0" quotePrefix="0" xfId="0">
      <alignment horizontal="center" wrapText="1"/>
    </xf>
    <xf numFmtId="0" fontId="2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vertical="top" wrapText="1"/>
    </xf>
    <xf numFmtId="0" fontId="2" fillId="0" borderId="4" pivotButton="0" quotePrefix="0" xfId="0"/>
    <xf numFmtId="0" fontId="2" fillId="0" borderId="2" pivotButton="0" quotePrefix="0" xfId="0"/>
    <xf numFmtId="0" fontId="2" fillId="8" borderId="9" pivotButton="0" quotePrefix="0" xfId="0"/>
    <xf numFmtId="0" fontId="19" fillId="0" borderId="1" applyAlignment="1" pivotButton="0" quotePrefix="0" xfId="0">
      <alignment horizontal="center"/>
    </xf>
    <xf numFmtId="0" fontId="19" fillId="0" borderId="2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0" fontId="19" fillId="0" borderId="6" applyAlignment="1" pivotButton="0" quotePrefix="0" xfId="0">
      <alignment horizontal="center"/>
    </xf>
    <xf numFmtId="0" fontId="19" fillId="0" borderId="7" applyAlignment="1" pivotButton="0" quotePrefix="0" xfId="0">
      <alignment horizontal="center"/>
    </xf>
    <xf numFmtId="0" fontId="19" fillId="0" borderId="8" applyAlignment="1" pivotButton="0" quotePrefix="0" xfId="0">
      <alignment horizontal="center"/>
    </xf>
    <xf numFmtId="49" fontId="28" fillId="19" borderId="14" applyAlignment="1" pivotButton="0" quotePrefix="0" xfId="4">
      <alignment horizontal="center" vertical="center" wrapText="1"/>
    </xf>
    <xf numFmtId="49" fontId="29" fillId="19" borderId="15" applyAlignment="1" pivotButton="0" quotePrefix="0" xfId="4">
      <alignment horizontal="center" vertical="center" wrapText="1"/>
    </xf>
    <xf numFmtId="49" fontId="29" fillId="19" borderId="21" applyAlignment="1" pivotButton="0" quotePrefix="0" xfId="4">
      <alignment horizontal="center" vertical="center" wrapText="1"/>
    </xf>
    <xf numFmtId="49" fontId="29" fillId="19" borderId="17" applyAlignment="1" pivotButton="0" quotePrefix="0" xfId="4">
      <alignment horizontal="center" vertical="center" wrapText="1"/>
    </xf>
    <xf numFmtId="49" fontId="29" fillId="19" borderId="0" applyAlignment="1" pivotButton="0" quotePrefix="0" xfId="4">
      <alignment horizontal="center" vertical="center" wrapText="1"/>
    </xf>
    <xf numFmtId="49" fontId="29" fillId="19" borderId="12" applyAlignment="1" pivotButton="0" quotePrefix="0" xfId="4">
      <alignment horizontal="center" vertical="center" wrapText="1"/>
    </xf>
    <xf numFmtId="49" fontId="29" fillId="19" borderId="18" applyAlignment="1" pivotButton="0" quotePrefix="0" xfId="4">
      <alignment horizontal="center" vertical="center" wrapText="1"/>
    </xf>
    <xf numFmtId="49" fontId="29" fillId="19" borderId="19" applyAlignment="1" pivotButton="0" quotePrefix="0" xfId="4">
      <alignment horizontal="center" vertical="center" wrapText="1"/>
    </xf>
    <xf numFmtId="49" fontId="29" fillId="19" borderId="26" applyAlignment="1" pivotButton="0" quotePrefix="0" xfId="4">
      <alignment horizontal="center" vertical="center" wrapText="1"/>
    </xf>
    <xf numFmtId="0" fontId="26" fillId="6" borderId="4" applyAlignment="1" pivotButton="0" quotePrefix="0" xfId="3">
      <alignment horizontal="center" vertical="center" wrapText="1"/>
    </xf>
    <xf numFmtId="0" fontId="9" fillId="6" borderId="1" applyAlignment="1" pivotButton="0" quotePrefix="0" xfId="3">
      <alignment horizontal="center" vertical="center" wrapText="1"/>
    </xf>
    <xf numFmtId="0" fontId="9" fillId="6" borderId="2" applyAlignment="1" pivotButton="0" quotePrefix="0" xfId="3">
      <alignment horizontal="center" vertical="center" wrapText="1"/>
    </xf>
    <xf numFmtId="0" fontId="9" fillId="6" borderId="5" applyAlignment="1" pivotButton="0" quotePrefix="0" xfId="3">
      <alignment horizontal="center" vertical="center" wrapText="1"/>
    </xf>
    <xf numFmtId="0" fontId="9" fillId="6" borderId="0" applyAlignment="1" pivotButton="0" quotePrefix="0" xfId="3">
      <alignment horizontal="center" vertical="center" wrapText="1"/>
    </xf>
    <xf numFmtId="0" fontId="9" fillId="6" borderId="3" applyAlignment="1" pivotButton="0" quotePrefix="0" xfId="3">
      <alignment horizontal="center" vertical="center" wrapText="1"/>
    </xf>
    <xf numFmtId="0" fontId="9" fillId="6" borderId="6" applyAlignment="1" pivotButton="0" quotePrefix="0" xfId="3">
      <alignment horizontal="center" vertical="center" wrapText="1"/>
    </xf>
    <xf numFmtId="0" fontId="9" fillId="6" borderId="7" applyAlignment="1" pivotButton="0" quotePrefix="0" xfId="3">
      <alignment horizontal="center" vertical="center" wrapText="1"/>
    </xf>
    <xf numFmtId="0" fontId="9" fillId="6" borderId="8" applyAlignment="1" pivotButton="0" quotePrefix="0" xfId="3">
      <alignment horizontal="center" vertical="center" wrapText="1"/>
    </xf>
    <xf numFmtId="0" fontId="17" fillId="20" borderId="9" pivotButton="0" quotePrefix="0" xfId="0"/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9" borderId="9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5" fillId="9" borderId="8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17" fillId="2" borderId="5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17" fillId="2" borderId="6" applyAlignment="1" pivotButton="0" quotePrefix="0" xfId="0">
      <alignment horizontal="center" vertical="center"/>
    </xf>
    <xf numFmtId="0" fontId="17" fillId="2" borderId="7" applyAlignment="1" pivotButton="0" quotePrefix="0" xfId="0">
      <alignment horizontal="center" vertical="center"/>
    </xf>
    <xf numFmtId="0" fontId="17" fillId="2" borderId="8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/>
    </xf>
    <xf numFmtId="0" fontId="19" fillId="9" borderId="5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19" fillId="9" borderId="3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9" fillId="9" borderId="7" applyAlignment="1" pivotButton="0" quotePrefix="0" xfId="0">
      <alignment horizontal="center" vertical="center"/>
    </xf>
    <xf numFmtId="0" fontId="19" fillId="9" borderId="8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6" applyAlignment="1" pivotButton="0" quotePrefix="0" xfId="0">
      <alignment horizontal="center"/>
    </xf>
    <xf numFmtId="0" fontId="17" fillId="0" borderId="7" applyAlignment="1" pivotButton="0" quotePrefix="0" xfId="0">
      <alignment horizontal="center"/>
    </xf>
    <xf numFmtId="0" fontId="17" fillId="0" borderId="8" applyAlignment="1" pivotButton="0" quotePrefix="0" xfId="0">
      <alignment horizontal="center"/>
    </xf>
    <xf numFmtId="0" fontId="36" fillId="9" borderId="4" applyAlignment="1" pivotButton="0" quotePrefix="0" xfId="0">
      <alignment horizontal="center" vertical="center" wrapText="1"/>
    </xf>
    <xf numFmtId="0" fontId="36" fillId="9" borderId="1" applyAlignment="1" pivotButton="0" quotePrefix="0" xfId="0">
      <alignment horizontal="center" vertical="center"/>
    </xf>
    <xf numFmtId="0" fontId="36" fillId="9" borderId="2" applyAlignment="1" pivotButton="0" quotePrefix="0" xfId="0">
      <alignment horizontal="center" vertical="center"/>
    </xf>
    <xf numFmtId="0" fontId="36" fillId="9" borderId="5" applyAlignment="1" pivotButton="0" quotePrefix="0" xfId="0">
      <alignment horizontal="center" vertical="center"/>
    </xf>
    <xf numFmtId="0" fontId="36" fillId="9" borderId="0" applyAlignment="1" pivotButton="0" quotePrefix="0" xfId="0">
      <alignment horizontal="center" vertical="center"/>
    </xf>
    <xf numFmtId="0" fontId="36" fillId="9" borderId="3" applyAlignment="1" pivotButton="0" quotePrefix="0" xfId="0">
      <alignment horizontal="center" vertical="center"/>
    </xf>
    <xf numFmtId="0" fontId="36" fillId="9" borderId="6" applyAlignment="1" pivotButton="0" quotePrefix="0" xfId="0">
      <alignment horizontal="center" vertical="center"/>
    </xf>
    <xf numFmtId="0" fontId="36" fillId="9" borderId="7" applyAlignment="1" pivotButton="0" quotePrefix="0" xfId="0">
      <alignment horizontal="center" vertical="center"/>
    </xf>
    <xf numFmtId="0" fontId="36" fillId="9" borderId="8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 wrapText="1"/>
    </xf>
    <xf numFmtId="0" fontId="9" fillId="8" borderId="4" applyAlignment="1" pivotButton="0" quotePrefix="0" xfId="3">
      <alignment horizontal="center" vertical="center" wrapText="1"/>
    </xf>
    <xf numFmtId="0" fontId="9" fillId="8" borderId="1" applyAlignment="1" pivotButton="0" quotePrefix="0" xfId="3">
      <alignment horizontal="center" vertical="center" wrapText="1"/>
    </xf>
    <xf numFmtId="0" fontId="9" fillId="8" borderId="2" applyAlignment="1" pivotButton="0" quotePrefix="0" xfId="3">
      <alignment horizontal="center" vertical="center" wrapText="1"/>
    </xf>
    <xf numFmtId="0" fontId="9" fillId="8" borderId="5" applyAlignment="1" pivotButton="0" quotePrefix="0" xfId="3">
      <alignment horizontal="center" vertical="center" wrapText="1"/>
    </xf>
    <xf numFmtId="0" fontId="9" fillId="8" borderId="0" applyAlignment="1" pivotButton="0" quotePrefix="0" xfId="3">
      <alignment horizontal="center" vertical="center" wrapText="1"/>
    </xf>
    <xf numFmtId="0" fontId="9" fillId="8" borderId="3" applyAlignment="1" pivotButton="0" quotePrefix="0" xfId="3">
      <alignment horizontal="center" vertical="center" wrapText="1"/>
    </xf>
    <xf numFmtId="0" fontId="9" fillId="8" borderId="6" applyAlignment="1" pivotButton="0" quotePrefix="0" xfId="3">
      <alignment horizontal="center" vertical="center" wrapText="1"/>
    </xf>
    <xf numFmtId="0" fontId="9" fillId="8" borderId="7" applyAlignment="1" pivotButton="0" quotePrefix="0" xfId="3">
      <alignment horizontal="center" vertical="center" wrapText="1"/>
    </xf>
    <xf numFmtId="0" fontId="9" fillId="8" borderId="8" applyAlignment="1" pivotButton="0" quotePrefix="0" xfId="3">
      <alignment horizontal="center" vertical="center" wrapText="1"/>
    </xf>
    <xf numFmtId="0" fontId="10" fillId="6" borderId="4" applyAlignment="1" pivotButton="0" quotePrefix="0" xfId="3">
      <alignment horizontal="center" vertical="center"/>
    </xf>
    <xf numFmtId="0" fontId="10" fillId="6" borderId="1" applyAlignment="1" pivotButton="0" quotePrefix="0" xfId="3">
      <alignment horizontal="center" vertical="center"/>
    </xf>
    <xf numFmtId="0" fontId="10" fillId="6" borderId="2" applyAlignment="1" pivotButton="0" quotePrefix="0" xfId="3">
      <alignment horizontal="center" vertical="center"/>
    </xf>
    <xf numFmtId="0" fontId="10" fillId="6" borderId="5" applyAlignment="1" pivotButton="0" quotePrefix="0" xfId="3">
      <alignment horizontal="center" vertical="center"/>
    </xf>
    <xf numFmtId="0" fontId="10" fillId="6" borderId="0" applyAlignment="1" pivotButton="0" quotePrefix="0" xfId="3">
      <alignment horizontal="center" vertical="center"/>
    </xf>
    <xf numFmtId="0" fontId="10" fillId="6" borderId="3" applyAlignment="1" pivotButton="0" quotePrefix="0" xfId="3">
      <alignment horizontal="center" vertical="center"/>
    </xf>
    <xf numFmtId="0" fontId="10" fillId="6" borderId="6" applyAlignment="1" pivotButton="0" quotePrefix="0" xfId="3">
      <alignment horizontal="center" vertical="center"/>
    </xf>
    <xf numFmtId="0" fontId="10" fillId="6" borderId="7" applyAlignment="1" pivotButton="0" quotePrefix="0" xfId="3">
      <alignment horizontal="center" vertical="center"/>
    </xf>
    <xf numFmtId="0" fontId="10" fillId="6" borderId="8" applyAlignment="1" pivotButton="0" quotePrefix="0" xfId="3">
      <alignment horizontal="center" vertical="center"/>
    </xf>
    <xf numFmtId="49" fontId="30" fillId="11" borderId="14" applyAlignment="1" pivotButton="0" quotePrefix="0" xfId="4">
      <alignment horizontal="center" vertical="center" wrapText="1"/>
    </xf>
    <xf numFmtId="0" fontId="8" fillId="0" borderId="2" applyAlignment="1" pivotButton="0" quotePrefix="0" xfId="3">
      <alignment horizontal="center" vertical="center" wrapText="1"/>
    </xf>
    <xf numFmtId="0" fontId="8" fillId="0" borderId="3" applyAlignment="1" pivotButton="0" quotePrefix="0" xfId="3">
      <alignment horizontal="center" vertical="center" wrapText="1"/>
    </xf>
    <xf numFmtId="0" fontId="8" fillId="0" borderId="8" applyAlignment="1" pivotButton="0" quotePrefix="0" xfId="3">
      <alignment horizontal="center" vertical="center" wrapText="1"/>
    </xf>
    <xf numFmtId="0" fontId="2" fillId="0" borderId="9" pivotButton="0" quotePrefix="0" xfId="3"/>
    <xf numFmtId="0" fontId="8" fillId="0" borderId="14" applyAlignment="1" pivotButton="0" quotePrefix="0" xfId="3">
      <alignment horizontal="center" wrapText="1"/>
    </xf>
    <xf numFmtId="0" fontId="8" fillId="0" borderId="15" applyAlignment="1" pivotButton="0" quotePrefix="0" xfId="3">
      <alignment horizontal="center" wrapText="1"/>
    </xf>
    <xf numFmtId="0" fontId="8" fillId="0" borderId="21" applyAlignment="1" pivotButton="0" quotePrefix="0" xfId="3">
      <alignment horizontal="center" wrapText="1"/>
    </xf>
    <xf numFmtId="0" fontId="8" fillId="0" borderId="17" applyAlignment="1" pivotButton="0" quotePrefix="0" xfId="3">
      <alignment horizontal="center" wrapText="1"/>
    </xf>
    <xf numFmtId="0" fontId="8" fillId="0" borderId="0" applyAlignment="1" pivotButton="0" quotePrefix="0" xfId="3">
      <alignment horizontal="center" wrapText="1"/>
    </xf>
    <xf numFmtId="0" fontId="8" fillId="0" borderId="12" applyAlignment="1" pivotButton="0" quotePrefix="0" xfId="3">
      <alignment horizontal="center" wrapText="1"/>
    </xf>
    <xf numFmtId="0" fontId="8" fillId="0" borderId="18" applyAlignment="1" pivotButton="0" quotePrefix="0" xfId="3">
      <alignment horizontal="center" wrapText="1"/>
    </xf>
    <xf numFmtId="0" fontId="8" fillId="0" borderId="19" applyAlignment="1" pivotButton="0" quotePrefix="0" xfId="3">
      <alignment horizontal="center" wrapText="1"/>
    </xf>
    <xf numFmtId="0" fontId="8" fillId="0" borderId="26" applyAlignment="1" pivotButton="0" quotePrefix="0" xfId="3">
      <alignment horizontal="center" wrapText="1"/>
    </xf>
    <xf numFmtId="0" fontId="10" fillId="0" borderId="14" applyAlignment="1" pivotButton="0" quotePrefix="0" xfId="3">
      <alignment horizontal="center" vertical="center" wrapText="1"/>
    </xf>
    <xf numFmtId="0" fontId="10" fillId="0" borderId="15" applyAlignment="1" pivotButton="0" quotePrefix="0" xfId="3">
      <alignment horizontal="center" vertical="center" wrapText="1"/>
    </xf>
    <xf numFmtId="0" fontId="10" fillId="0" borderId="21" applyAlignment="1" pivotButton="0" quotePrefix="0" xfId="3">
      <alignment horizontal="center" vertical="center" wrapText="1"/>
    </xf>
    <xf numFmtId="0" fontId="10" fillId="0" borderId="17" applyAlignment="1" pivotButton="0" quotePrefix="0" xfId="3">
      <alignment horizontal="center" vertical="center" wrapText="1"/>
    </xf>
    <xf numFmtId="0" fontId="10" fillId="0" borderId="0" applyAlignment="1" pivotButton="0" quotePrefix="0" xfId="3">
      <alignment horizontal="center" vertical="center" wrapText="1"/>
    </xf>
    <xf numFmtId="0" fontId="10" fillId="0" borderId="12" applyAlignment="1" pivotButton="0" quotePrefix="0" xfId="3">
      <alignment horizontal="center" vertical="center" wrapText="1"/>
    </xf>
    <xf numFmtId="0" fontId="10" fillId="0" borderId="18" applyAlignment="1" pivotButton="0" quotePrefix="0" xfId="3">
      <alignment horizontal="center" vertical="center" wrapText="1"/>
    </xf>
    <xf numFmtId="0" fontId="10" fillId="0" borderId="19" applyAlignment="1" pivotButton="0" quotePrefix="0" xfId="3">
      <alignment horizontal="center" vertical="center" wrapText="1"/>
    </xf>
    <xf numFmtId="0" fontId="10" fillId="0" borderId="26" applyAlignment="1" pivotButton="0" quotePrefix="0" xfId="3">
      <alignment horizontal="center" vertical="center" wrapText="1"/>
    </xf>
    <xf numFmtId="0" fontId="10" fillId="0" borderId="31" pivotButton="0" quotePrefix="0" xfId="3"/>
    <xf numFmtId="0" fontId="8" fillId="19" borderId="4" applyAlignment="1" pivotButton="0" quotePrefix="0" xfId="3">
      <alignment horizontal="center" vertical="center" wrapText="1"/>
    </xf>
    <xf numFmtId="0" fontId="8" fillId="19" borderId="1" applyAlignment="1" pivotButton="0" quotePrefix="0" xfId="3">
      <alignment horizontal="center" vertical="center" wrapText="1"/>
    </xf>
    <xf numFmtId="0" fontId="8" fillId="19" borderId="2" applyAlignment="1" pivotButton="0" quotePrefix="0" xfId="3">
      <alignment horizontal="center" vertical="center" wrapText="1"/>
    </xf>
    <xf numFmtId="0" fontId="8" fillId="19" borderId="5" applyAlignment="1" pivotButton="0" quotePrefix="0" xfId="3">
      <alignment horizontal="center" vertical="center" wrapText="1"/>
    </xf>
    <xf numFmtId="0" fontId="8" fillId="19" borderId="0" applyAlignment="1" pivotButton="0" quotePrefix="0" xfId="3">
      <alignment horizontal="center" vertical="center" wrapText="1"/>
    </xf>
    <xf numFmtId="0" fontId="8" fillId="19" borderId="3" applyAlignment="1" pivotButton="0" quotePrefix="0" xfId="3">
      <alignment horizontal="center" vertical="center" wrapText="1"/>
    </xf>
    <xf numFmtId="0" fontId="8" fillId="19" borderId="6" applyAlignment="1" pivotButton="0" quotePrefix="0" xfId="3">
      <alignment horizontal="center" vertical="center" wrapText="1"/>
    </xf>
    <xf numFmtId="0" fontId="8" fillId="19" borderId="7" applyAlignment="1" pivotButton="0" quotePrefix="0" xfId="3">
      <alignment horizontal="center" vertical="center" wrapText="1"/>
    </xf>
    <xf numFmtId="0" fontId="8" fillId="19" borderId="8" applyAlignment="1" pivotButton="0" quotePrefix="0" xfId="3">
      <alignment horizontal="center" vertical="center" wrapText="1"/>
    </xf>
    <xf numFmtId="0" fontId="9" fillId="19" borderId="4" applyAlignment="1" pivotButton="0" quotePrefix="0" xfId="3">
      <alignment horizontal="center" vertical="center" wrapText="1"/>
    </xf>
    <xf numFmtId="0" fontId="9" fillId="19" borderId="1" applyAlignment="1" pivotButton="0" quotePrefix="0" xfId="3">
      <alignment horizontal="center" vertical="center" wrapText="1"/>
    </xf>
    <xf numFmtId="0" fontId="9" fillId="19" borderId="2" applyAlignment="1" pivotButton="0" quotePrefix="0" xfId="3">
      <alignment horizontal="center" vertical="center" wrapText="1"/>
    </xf>
    <xf numFmtId="0" fontId="9" fillId="19" borderId="5" applyAlignment="1" pivotButton="0" quotePrefix="0" xfId="3">
      <alignment horizontal="center" vertical="center" wrapText="1"/>
    </xf>
    <xf numFmtId="0" fontId="9" fillId="19" borderId="0" applyAlignment="1" pivotButton="0" quotePrefix="0" xfId="3">
      <alignment horizontal="center" vertical="center" wrapText="1"/>
    </xf>
    <xf numFmtId="0" fontId="9" fillId="19" borderId="3" applyAlignment="1" pivotButton="0" quotePrefix="0" xfId="3">
      <alignment horizontal="center" vertical="center" wrapText="1"/>
    </xf>
    <xf numFmtId="0" fontId="9" fillId="19" borderId="6" applyAlignment="1" pivotButton="0" quotePrefix="0" xfId="3">
      <alignment horizontal="center" vertical="center" wrapText="1"/>
    </xf>
    <xf numFmtId="0" fontId="9" fillId="19" borderId="7" applyAlignment="1" pivotButton="0" quotePrefix="0" xfId="3">
      <alignment horizontal="center" vertical="center" wrapText="1"/>
    </xf>
    <xf numFmtId="0" fontId="9" fillId="19" borderId="8" applyAlignment="1" pivotButton="0" quotePrefix="0" xfId="3">
      <alignment horizontal="center" vertical="center" wrapText="1"/>
    </xf>
    <xf numFmtId="0" fontId="8" fillId="0" borderId="4" applyAlignment="1" pivotButton="0" quotePrefix="0" xfId="3">
      <alignment horizontal="center" vertical="center"/>
    </xf>
    <xf numFmtId="0" fontId="8" fillId="0" borderId="1" applyAlignment="1" pivotButton="0" quotePrefix="0" xfId="3">
      <alignment horizontal="center" vertical="center"/>
    </xf>
    <xf numFmtId="0" fontId="8" fillId="0" borderId="2" applyAlignment="1" pivotButton="0" quotePrefix="0" xfId="3">
      <alignment horizontal="center" vertical="center"/>
    </xf>
    <xf numFmtId="0" fontId="8" fillId="0" borderId="5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 vertical="center"/>
    </xf>
    <xf numFmtId="0" fontId="8" fillId="0" borderId="3" applyAlignment="1" pivotButton="0" quotePrefix="0" xfId="3">
      <alignment horizontal="center" vertical="center"/>
    </xf>
    <xf numFmtId="0" fontId="8" fillId="0" borderId="6" applyAlignment="1" pivotButton="0" quotePrefix="0" xfId="3">
      <alignment horizontal="center" vertical="center"/>
    </xf>
    <xf numFmtId="0" fontId="8" fillId="0" borderId="7" applyAlignment="1" pivotButton="0" quotePrefix="0" xfId="3">
      <alignment horizontal="center" vertical="center"/>
    </xf>
    <xf numFmtId="0" fontId="8" fillId="0" borderId="8" applyAlignment="1" pivotButton="0" quotePrefix="0" xfId="3">
      <alignment horizontal="center" vertical="center"/>
    </xf>
    <xf numFmtId="0" fontId="2" fillId="0" borderId="4" applyAlignment="1" pivotButton="0" quotePrefix="0" xfId="3">
      <alignment horizontal="center" vertical="center" wrapText="1"/>
    </xf>
    <xf numFmtId="0" fontId="2" fillId="0" borderId="1" applyAlignment="1" pivotButton="0" quotePrefix="0" xfId="3">
      <alignment horizontal="center" vertical="center" wrapText="1"/>
    </xf>
    <xf numFmtId="0" fontId="2" fillId="0" borderId="2" applyAlignment="1" pivotButton="0" quotePrefix="0" xfId="3">
      <alignment horizontal="center" vertical="center" wrapText="1"/>
    </xf>
    <xf numFmtId="0" fontId="2" fillId="0" borderId="5" applyAlignment="1" pivotButton="0" quotePrefix="0" xfId="3">
      <alignment horizontal="center" vertical="center" wrapText="1"/>
    </xf>
    <xf numFmtId="0" fontId="2" fillId="0" borderId="0" applyAlignment="1" pivotButton="0" quotePrefix="0" xfId="3">
      <alignment horizontal="center" vertical="center" wrapText="1"/>
    </xf>
    <xf numFmtId="0" fontId="2" fillId="0" borderId="3" applyAlignment="1" pivotButton="0" quotePrefix="0" xfId="3">
      <alignment horizontal="center" vertical="center" wrapText="1"/>
    </xf>
    <xf numFmtId="0" fontId="2" fillId="0" borderId="6" applyAlignment="1" pivotButton="0" quotePrefix="0" xfId="3">
      <alignment horizontal="center" vertical="center" wrapText="1"/>
    </xf>
    <xf numFmtId="0" fontId="2" fillId="0" borderId="7" applyAlignment="1" pivotButton="0" quotePrefix="0" xfId="3">
      <alignment horizontal="center" vertical="center" wrapText="1"/>
    </xf>
    <xf numFmtId="0" fontId="2" fillId="0" borderId="8" applyAlignment="1" pivotButton="0" quotePrefix="0" xfId="3">
      <alignment horizontal="center" vertical="center" wrapText="1"/>
    </xf>
    <xf numFmtId="0" fontId="31" fillId="24" borderId="4" applyAlignment="1" pivotButton="0" quotePrefix="0" xfId="0">
      <alignment horizontal="center" vertical="center" wrapText="1"/>
    </xf>
    <xf numFmtId="0" fontId="31" fillId="24" borderId="1" applyAlignment="1" pivotButton="0" quotePrefix="0" xfId="0">
      <alignment horizontal="center" vertical="center"/>
    </xf>
    <xf numFmtId="0" fontId="31" fillId="24" borderId="2" applyAlignment="1" pivotButton="0" quotePrefix="0" xfId="0">
      <alignment horizontal="center" vertical="center"/>
    </xf>
    <xf numFmtId="0" fontId="31" fillId="24" borderId="5" applyAlignment="1" pivotButton="0" quotePrefix="0" xfId="0">
      <alignment horizontal="center" vertical="center"/>
    </xf>
    <xf numFmtId="0" fontId="31" fillId="24" borderId="0" applyAlignment="1" pivotButton="0" quotePrefix="0" xfId="0">
      <alignment horizontal="center" vertical="center"/>
    </xf>
    <xf numFmtId="0" fontId="31" fillId="24" borderId="3" applyAlignment="1" pivotButton="0" quotePrefix="0" xfId="0">
      <alignment horizontal="center" vertical="center"/>
    </xf>
    <xf numFmtId="0" fontId="31" fillId="15" borderId="4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/>
    </xf>
    <xf numFmtId="0" fontId="31" fillId="15" borderId="2" applyAlignment="1" pivotButton="0" quotePrefix="0" xfId="0">
      <alignment horizontal="center" vertical="center"/>
    </xf>
    <xf numFmtId="0" fontId="31" fillId="15" borderId="5" applyAlignment="1" pivotButton="0" quotePrefix="0" xfId="0">
      <alignment horizontal="center" vertical="center"/>
    </xf>
    <xf numFmtId="0" fontId="31" fillId="15" borderId="0" applyAlignment="1" pivotButton="0" quotePrefix="0" xfId="0">
      <alignment horizontal="center" vertical="center"/>
    </xf>
    <xf numFmtId="0" fontId="31" fillId="15" borderId="3" applyAlignment="1" pivotButton="0" quotePrefix="0" xfId="0">
      <alignment horizontal="center" vertical="center"/>
    </xf>
    <xf numFmtId="0" fontId="31" fillId="15" borderId="6" applyAlignment="1" pivotButton="0" quotePrefix="0" xfId="0">
      <alignment horizontal="center" vertical="center"/>
    </xf>
    <xf numFmtId="0" fontId="31" fillId="15" borderId="7" applyAlignment="1" pivotButton="0" quotePrefix="0" xfId="0">
      <alignment horizontal="center" vertical="center"/>
    </xf>
    <xf numFmtId="0" fontId="31" fillId="15" borderId="8" applyAlignment="1" pivotButton="0" quotePrefix="0" xfId="0">
      <alignment horizontal="center" vertical="center"/>
    </xf>
    <xf numFmtId="0" fontId="31" fillId="24" borderId="4" applyAlignment="1" pivotButton="0" quotePrefix="0" xfId="0">
      <alignment horizontal="center" vertical="center"/>
    </xf>
    <xf numFmtId="0" fontId="31" fillId="24" borderId="6" applyAlignment="1" pivotButton="0" quotePrefix="0" xfId="0">
      <alignment horizontal="center" vertical="center"/>
    </xf>
    <xf numFmtId="0" fontId="31" fillId="24" borderId="7" applyAlignment="1" pivotButton="0" quotePrefix="0" xfId="0">
      <alignment horizontal="center" vertical="center"/>
    </xf>
    <xf numFmtId="0" fontId="31" fillId="24" borderId="8" applyAlignment="1" pivotButton="0" quotePrefix="0" xfId="0">
      <alignment horizontal="center" vertical="center"/>
    </xf>
    <xf numFmtId="0" fontId="31" fillId="15" borderId="5" applyAlignment="1" pivotButton="0" quotePrefix="0" xfId="0">
      <alignment horizontal="center" vertical="center" wrapText="1"/>
    </xf>
    <xf numFmtId="0" fontId="31" fillId="15" borderId="4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/>
    </xf>
    <xf numFmtId="0" fontId="17" fillId="0" borderId="30" applyAlignment="1" pivotButton="0" quotePrefix="0" xfId="0">
      <alignment horizontal="center" vertical="center"/>
    </xf>
    <xf numFmtId="0" fontId="17" fillId="0" borderId="30" pivotButton="0" quotePrefix="0" xfId="0"/>
    <xf numFmtId="0" fontId="31" fillId="15" borderId="1" applyAlignment="1" pivotButton="0" quotePrefix="0" xfId="0">
      <alignment horizontal="center" vertical="center" wrapText="1"/>
    </xf>
    <xf numFmtId="0" fontId="31" fillId="24" borderId="14" applyAlignment="1" pivotButton="0" quotePrefix="0" xfId="0">
      <alignment horizontal="center" vertical="center"/>
    </xf>
    <xf numFmtId="0" fontId="31" fillId="24" borderId="15" applyAlignment="1" pivotButton="0" quotePrefix="0" xfId="0">
      <alignment horizontal="center" vertical="center"/>
    </xf>
    <xf numFmtId="0" fontId="31" fillId="24" borderId="21" applyAlignment="1" pivotButton="0" quotePrefix="0" xfId="0">
      <alignment horizontal="center" vertical="center"/>
    </xf>
    <xf numFmtId="0" fontId="31" fillId="24" borderId="17" applyAlignment="1" pivotButton="0" quotePrefix="0" xfId="0">
      <alignment horizontal="center" vertical="center"/>
    </xf>
    <xf numFmtId="0" fontId="31" fillId="24" borderId="12" applyAlignment="1" pivotButton="0" quotePrefix="0" xfId="0">
      <alignment horizontal="center" vertical="center"/>
    </xf>
    <xf numFmtId="0" fontId="31" fillId="24" borderId="18" applyAlignment="1" pivotButton="0" quotePrefix="0" xfId="0">
      <alignment horizontal="center" vertical="center"/>
    </xf>
    <xf numFmtId="0" fontId="31" fillId="24" borderId="19" applyAlignment="1" pivotButton="0" quotePrefix="0" xfId="0">
      <alignment horizontal="center" vertical="center"/>
    </xf>
    <xf numFmtId="0" fontId="31" fillId="24" borderId="26" applyAlignment="1" pivotButton="0" quotePrefix="0" xfId="0">
      <alignment horizontal="center" vertical="center"/>
    </xf>
    <xf numFmtId="0" fontId="31" fillId="15" borderId="14" applyAlignment="1" pivotButton="0" quotePrefix="0" xfId="0">
      <alignment horizontal="center" vertical="center" wrapText="1"/>
    </xf>
    <xf numFmtId="0" fontId="31" fillId="15" borderId="15" applyAlignment="1" pivotButton="0" quotePrefix="0" xfId="0">
      <alignment horizontal="center" vertical="center"/>
    </xf>
    <xf numFmtId="0" fontId="31" fillId="15" borderId="21" applyAlignment="1" pivotButton="0" quotePrefix="0" xfId="0">
      <alignment horizontal="center" vertical="center"/>
    </xf>
    <xf numFmtId="0" fontId="31" fillId="15" borderId="17" applyAlignment="1" pivotButton="0" quotePrefix="0" xfId="0">
      <alignment horizontal="center" vertical="center"/>
    </xf>
    <xf numFmtId="0" fontId="31" fillId="15" borderId="12" applyAlignment="1" pivotButton="0" quotePrefix="0" xfId="0">
      <alignment horizontal="center" vertical="center"/>
    </xf>
    <xf numFmtId="0" fontId="31" fillId="15" borderId="18" applyAlignment="1" pivotButton="0" quotePrefix="0" xfId="0">
      <alignment horizontal="center" vertical="center"/>
    </xf>
    <xf numFmtId="0" fontId="31" fillId="15" borderId="19" applyAlignment="1" pivotButton="0" quotePrefix="0" xfId="0">
      <alignment horizontal="center" vertical="center"/>
    </xf>
    <xf numFmtId="0" fontId="31" fillId="15" borderId="26" applyAlignment="1" pivotButton="0" quotePrefix="0" xfId="0">
      <alignment horizontal="center" vertical="center"/>
    </xf>
    <xf numFmtId="0" fontId="2" fillId="23" borderId="4" applyAlignment="1" pivotButton="0" quotePrefix="0" xfId="3">
      <alignment horizontal="center" vertical="center" wrapText="1"/>
    </xf>
    <xf numFmtId="0" fontId="2" fillId="23" borderId="1" applyAlignment="1" pivotButton="0" quotePrefix="0" xfId="3">
      <alignment horizontal="center" vertical="center" wrapText="1"/>
    </xf>
    <xf numFmtId="0" fontId="2" fillId="23" borderId="11" applyAlignment="1" pivotButton="0" quotePrefix="0" xfId="3">
      <alignment horizontal="center" vertical="center" wrapText="1"/>
    </xf>
    <xf numFmtId="0" fontId="2" fillId="23" borderId="5" applyAlignment="1" pivotButton="0" quotePrefix="0" xfId="3">
      <alignment horizontal="center" vertical="center" wrapText="1"/>
    </xf>
    <xf numFmtId="0" fontId="2" fillId="23" borderId="0" applyAlignment="1" pivotButton="0" quotePrefix="0" xfId="3">
      <alignment horizontal="center" vertical="center" wrapText="1"/>
    </xf>
    <xf numFmtId="0" fontId="2" fillId="23" borderId="12" applyAlignment="1" pivotButton="0" quotePrefix="0" xfId="3">
      <alignment horizontal="center" vertical="center" wrapText="1"/>
    </xf>
    <xf numFmtId="0" fontId="2" fillId="23" borderId="6" applyAlignment="1" pivotButton="0" quotePrefix="0" xfId="3">
      <alignment horizontal="center" vertical="center" wrapText="1"/>
    </xf>
    <xf numFmtId="0" fontId="2" fillId="23" borderId="7" applyAlignment="1" pivotButton="0" quotePrefix="0" xfId="3">
      <alignment horizontal="center" vertical="center" wrapText="1"/>
    </xf>
    <xf numFmtId="0" fontId="2" fillId="23" borderId="13" applyAlignment="1" pivotButton="0" quotePrefix="0" xfId="3">
      <alignment horizontal="center" vertical="center" wrapText="1"/>
    </xf>
    <xf numFmtId="0" fontId="8" fillId="23" borderId="24" applyAlignment="1" pivotButton="0" quotePrefix="0" xfId="3">
      <alignment horizontal="center" vertical="center" wrapText="1"/>
    </xf>
    <xf numFmtId="0" fontId="8" fillId="23" borderId="1" applyAlignment="1" pivotButton="0" quotePrefix="0" xfId="3">
      <alignment horizontal="center" vertical="center" wrapText="1"/>
    </xf>
    <xf numFmtId="0" fontId="8" fillId="23" borderId="2" applyAlignment="1" pivotButton="0" quotePrefix="0" xfId="3">
      <alignment horizontal="center" vertical="center" wrapText="1"/>
    </xf>
    <xf numFmtId="0" fontId="8" fillId="23" borderId="17" applyAlignment="1" pivotButton="0" quotePrefix="0" xfId="3">
      <alignment horizontal="center" vertical="center" wrapText="1"/>
    </xf>
    <xf numFmtId="0" fontId="8" fillId="23" borderId="0" applyAlignment="1" pivotButton="0" quotePrefix="0" xfId="3">
      <alignment horizontal="center" vertical="center" wrapText="1"/>
    </xf>
    <xf numFmtId="0" fontId="8" fillId="23" borderId="3" applyAlignment="1" pivotButton="0" quotePrefix="0" xfId="3">
      <alignment horizontal="center" vertical="center" wrapText="1"/>
    </xf>
    <xf numFmtId="0" fontId="8" fillId="23" borderId="22" applyAlignment="1" pivotButton="0" quotePrefix="0" xfId="3">
      <alignment horizontal="center" vertical="center" wrapText="1"/>
    </xf>
    <xf numFmtId="0" fontId="8" fillId="23" borderId="7" applyAlignment="1" pivotButton="0" quotePrefix="0" xfId="3">
      <alignment horizontal="center" vertical="center" wrapText="1"/>
    </xf>
    <xf numFmtId="0" fontId="8" fillId="23" borderId="8" applyAlignment="1" pivotButton="0" quotePrefix="0" xfId="3">
      <alignment horizontal="center" vertical="center" wrapText="1"/>
    </xf>
    <xf numFmtId="0" fontId="2" fillId="23" borderId="2" applyAlignment="1" pivotButton="0" quotePrefix="0" xfId="3">
      <alignment horizontal="center" vertical="center" wrapText="1"/>
    </xf>
    <xf numFmtId="0" fontId="2" fillId="23" borderId="3" applyAlignment="1" pivotButton="0" quotePrefix="0" xfId="3">
      <alignment horizontal="center" vertical="center" wrapText="1"/>
    </xf>
    <xf numFmtId="0" fontId="2" fillId="23" borderId="8" applyAlignment="1" pivotButton="0" quotePrefix="0" xfId="3">
      <alignment horizontal="center" vertical="center" wrapText="1"/>
    </xf>
    <xf numFmtId="0" fontId="17" fillId="22" borderId="9" pivotButton="0" quotePrefix="0" xfId="0"/>
    <xf numFmtId="0" fontId="2" fillId="22" borderId="4" applyAlignment="1" pivotButton="0" quotePrefix="0" xfId="3">
      <alignment horizontal="center" vertical="center" wrapText="1"/>
    </xf>
    <xf numFmtId="0" fontId="2" fillId="22" borderId="1" applyAlignment="1" pivotButton="0" quotePrefix="0" xfId="3">
      <alignment horizontal="center" vertical="center" wrapText="1"/>
    </xf>
    <xf numFmtId="0" fontId="2" fillId="22" borderId="2" applyAlignment="1" pivotButton="0" quotePrefix="0" xfId="3">
      <alignment horizontal="center" vertical="center" wrapText="1"/>
    </xf>
    <xf numFmtId="0" fontId="2" fillId="22" borderId="5" applyAlignment="1" pivotButton="0" quotePrefix="0" xfId="3">
      <alignment horizontal="center" vertical="center" wrapText="1"/>
    </xf>
    <xf numFmtId="0" fontId="2" fillId="22" borderId="0" applyAlignment="1" pivotButton="0" quotePrefix="0" xfId="3">
      <alignment horizontal="center" vertical="center" wrapText="1"/>
    </xf>
    <xf numFmtId="0" fontId="2" fillId="22" borderId="3" applyAlignment="1" pivotButton="0" quotePrefix="0" xfId="3">
      <alignment horizontal="center" vertical="center" wrapText="1"/>
    </xf>
    <xf numFmtId="0" fontId="2" fillId="22" borderId="6" applyAlignment="1" pivotButton="0" quotePrefix="0" xfId="3">
      <alignment horizontal="center" vertical="center" wrapText="1"/>
    </xf>
    <xf numFmtId="0" fontId="2" fillId="22" borderId="7" applyAlignment="1" pivotButton="0" quotePrefix="0" xfId="3">
      <alignment horizontal="center" vertical="center" wrapText="1"/>
    </xf>
    <xf numFmtId="0" fontId="2" fillId="22" borderId="8" applyAlignment="1" pivotButton="0" quotePrefix="0" xfId="3">
      <alignment horizontal="center" vertical="center" wrapText="1"/>
    </xf>
    <xf numFmtId="0" fontId="17" fillId="2" borderId="27" applyAlignment="1" pivotButton="0" quotePrefix="0" xfId="0">
      <alignment horizontal="center" vertical="center"/>
    </xf>
    <xf numFmtId="0" fontId="17" fillId="0" borderId="28" pivotButton="0" quotePrefix="0" xfId="0"/>
    <xf numFmtId="0" fontId="5" fillId="22" borderId="4" applyAlignment="1" pivotButton="0" quotePrefix="0" xfId="3">
      <alignment horizontal="center" vertical="center" wrapText="1"/>
    </xf>
    <xf numFmtId="0" fontId="5" fillId="22" borderId="1" applyAlignment="1" pivotButton="0" quotePrefix="0" xfId="3">
      <alignment horizontal="center" vertical="center" wrapText="1"/>
    </xf>
    <xf numFmtId="0" fontId="5" fillId="22" borderId="2" applyAlignment="1" pivotButton="0" quotePrefix="0" xfId="3">
      <alignment horizontal="center" vertical="center" wrapText="1"/>
    </xf>
    <xf numFmtId="0" fontId="5" fillId="22" borderId="5" applyAlignment="1" pivotButton="0" quotePrefix="0" xfId="3">
      <alignment horizontal="center" vertical="center" wrapText="1"/>
    </xf>
    <xf numFmtId="0" fontId="5" fillId="22" borderId="0" applyAlignment="1" pivotButton="0" quotePrefix="0" xfId="3">
      <alignment horizontal="center" vertical="center" wrapText="1"/>
    </xf>
    <xf numFmtId="0" fontId="5" fillId="22" borderId="3" applyAlignment="1" pivotButton="0" quotePrefix="0" xfId="3">
      <alignment horizontal="center" vertical="center" wrapText="1"/>
    </xf>
    <xf numFmtId="0" fontId="5" fillId="22" borderId="6" applyAlignment="1" pivotButton="0" quotePrefix="0" xfId="3">
      <alignment horizontal="center" vertical="center" wrapText="1"/>
    </xf>
    <xf numFmtId="0" fontId="5" fillId="22" borderId="7" applyAlignment="1" pivotButton="0" quotePrefix="0" xfId="3">
      <alignment horizontal="center" vertical="center" wrapText="1"/>
    </xf>
    <xf numFmtId="0" fontId="5" fillId="22" borderId="8" applyAlignment="1" pivotButton="0" quotePrefix="0" xfId="3">
      <alignment horizontal="center" vertical="center" wrapText="1"/>
    </xf>
    <xf numFmtId="0" fontId="17" fillId="0" borderId="29" pivotButton="0" quotePrefix="0" xfId="0"/>
    <xf numFmtId="0" fontId="2" fillId="21" borderId="4" applyAlignment="1" pivotButton="0" quotePrefix="0" xfId="3">
      <alignment horizontal="center" vertical="center"/>
    </xf>
    <xf numFmtId="0" fontId="2" fillId="21" borderId="1" applyAlignment="1" pivotButton="0" quotePrefix="0" xfId="3">
      <alignment horizontal="center" vertical="center"/>
    </xf>
    <xf numFmtId="0" fontId="2" fillId="21" borderId="2" applyAlignment="1" pivotButton="0" quotePrefix="0" xfId="3">
      <alignment horizontal="center" vertical="center"/>
    </xf>
    <xf numFmtId="0" fontId="2" fillId="21" borderId="5" applyAlignment="1" pivotButton="0" quotePrefix="0" xfId="3">
      <alignment horizontal="center" vertical="center"/>
    </xf>
    <xf numFmtId="0" fontId="2" fillId="21" borderId="0" applyAlignment="1" pivotButton="0" quotePrefix="0" xfId="3">
      <alignment horizontal="center" vertical="center"/>
    </xf>
    <xf numFmtId="0" fontId="2" fillId="21" borderId="3" applyAlignment="1" pivotButton="0" quotePrefix="0" xfId="3">
      <alignment horizontal="center" vertical="center"/>
    </xf>
    <xf numFmtId="0" fontId="2" fillId="21" borderId="6" applyAlignment="1" pivotButton="0" quotePrefix="0" xfId="3">
      <alignment horizontal="center" vertical="center"/>
    </xf>
    <xf numFmtId="0" fontId="2" fillId="21" borderId="7" applyAlignment="1" pivotButton="0" quotePrefix="0" xfId="3">
      <alignment horizontal="center" vertical="center"/>
    </xf>
    <xf numFmtId="0" fontId="2" fillId="21" borderId="8" applyAlignment="1" pivotButton="0" quotePrefix="0" xfId="3">
      <alignment horizontal="center" vertical="center"/>
    </xf>
    <xf numFmtId="0" fontId="17" fillId="16" borderId="4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/>
    </xf>
    <xf numFmtId="0" fontId="17" fillId="16" borderId="2" applyAlignment="1" pivotButton="0" quotePrefix="0" xfId="0">
      <alignment horizontal="center" vertical="center"/>
    </xf>
    <xf numFmtId="0" fontId="17" fillId="16" borderId="5" applyAlignment="1" pivotButton="0" quotePrefix="0" xfId="0">
      <alignment horizontal="center" vertical="center"/>
    </xf>
    <xf numFmtId="0" fontId="17" fillId="16" borderId="0" applyAlignment="1" pivotButton="0" quotePrefix="0" xfId="0">
      <alignment horizontal="center" vertical="center"/>
    </xf>
    <xf numFmtId="0" fontId="17" fillId="16" borderId="3" applyAlignment="1" pivotButton="0" quotePrefix="0" xfId="0">
      <alignment horizontal="center" vertical="center"/>
    </xf>
    <xf numFmtId="0" fontId="17" fillId="16" borderId="6" applyAlignment="1" pivotButton="0" quotePrefix="0" xfId="0">
      <alignment horizontal="center" vertical="center"/>
    </xf>
    <xf numFmtId="0" fontId="17" fillId="16" borderId="7" applyAlignment="1" pivotButton="0" quotePrefix="0" xfId="0">
      <alignment horizontal="center" vertical="center"/>
    </xf>
    <xf numFmtId="0" fontId="17" fillId="16" borderId="8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/>
    </xf>
    <xf numFmtId="0" fontId="17" fillId="6" borderId="7" applyAlignment="1" pivotButton="0" quotePrefix="0" xfId="0">
      <alignment horizontal="center" vertical="center"/>
    </xf>
    <xf numFmtId="0" fontId="17" fillId="6" borderId="8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wrapText="1"/>
    </xf>
    <xf numFmtId="0" fontId="18" fillId="18" borderId="1" applyAlignment="1" pivotButton="0" quotePrefix="0" xfId="0">
      <alignment horizontal="center"/>
    </xf>
    <xf numFmtId="0" fontId="18" fillId="18" borderId="2" applyAlignment="1" pivotButton="0" quotePrefix="0" xfId="0">
      <alignment horizontal="center"/>
    </xf>
    <xf numFmtId="0" fontId="18" fillId="18" borderId="5" applyAlignment="1" pivotButton="0" quotePrefix="0" xfId="0">
      <alignment horizontal="center"/>
    </xf>
    <xf numFmtId="0" fontId="18" fillId="18" borderId="0" applyAlignment="1" pivotButton="0" quotePrefix="0" xfId="0">
      <alignment horizontal="center"/>
    </xf>
    <xf numFmtId="0" fontId="18" fillId="18" borderId="3" applyAlignment="1" pivotButton="0" quotePrefix="0" xfId="0">
      <alignment horizontal="center"/>
    </xf>
    <xf numFmtId="0" fontId="18" fillId="18" borderId="6" applyAlignment="1" pivotButton="0" quotePrefix="0" xfId="0">
      <alignment horizontal="center"/>
    </xf>
    <xf numFmtId="0" fontId="18" fillId="18" borderId="7" applyAlignment="1" pivotButton="0" quotePrefix="0" xfId="0">
      <alignment horizontal="center"/>
    </xf>
    <xf numFmtId="0" fontId="18" fillId="18" borderId="8" applyAlignment="1" pivotButton="0" quotePrefix="0" xfId="0">
      <alignment horizontal="center"/>
    </xf>
    <xf numFmtId="0" fontId="21" fillId="6" borderId="4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21" fillId="6" borderId="5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1" fillId="6" borderId="3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1" fillId="6" borderId="8" applyAlignment="1" pivotButton="0" quotePrefix="0" xfId="0">
      <alignment horizontal="center" vertical="center"/>
    </xf>
    <xf numFmtId="0" fontId="20" fillId="16" borderId="4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2" applyAlignment="1" pivotButton="0" quotePrefix="0" xfId="0">
      <alignment horizontal="center" vertical="center"/>
    </xf>
    <xf numFmtId="0" fontId="20" fillId="16" borderId="5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  <xf numFmtId="0" fontId="20" fillId="16" borderId="3" applyAlignment="1" pivotButton="0" quotePrefix="0" xfId="0">
      <alignment horizontal="center" vertical="center"/>
    </xf>
    <xf numFmtId="0" fontId="20" fillId="16" borderId="23" applyAlignment="1" pivotButton="0" quotePrefix="0" xfId="0">
      <alignment horizontal="center" vertical="center"/>
    </xf>
    <xf numFmtId="0" fontId="20" fillId="16" borderId="19" applyAlignment="1" pivotButton="0" quotePrefix="0" xfId="0">
      <alignment horizontal="center" vertical="center"/>
    </xf>
    <xf numFmtId="0" fontId="20" fillId="16" borderId="20" applyAlignment="1" pivotButton="0" quotePrefix="0" xfId="0">
      <alignment horizontal="center" vertical="center"/>
    </xf>
    <xf numFmtId="0" fontId="19" fillId="16" borderId="4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/>
    </xf>
    <xf numFmtId="0" fontId="19" fillId="16" borderId="2" applyAlignment="1" pivotButton="0" quotePrefix="0" xfId="0">
      <alignment horizontal="center" vertical="center"/>
    </xf>
    <xf numFmtId="0" fontId="19" fillId="16" borderId="5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19" fillId="16" borderId="3" applyAlignment="1" pivotButton="0" quotePrefix="0" xfId="0">
      <alignment horizontal="center" vertical="center"/>
    </xf>
    <xf numFmtId="0" fontId="17" fillId="18" borderId="4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/>
    </xf>
    <xf numFmtId="0" fontId="17" fillId="18" borderId="2" applyAlignment="1" pivotButton="0" quotePrefix="0" xfId="0">
      <alignment horizontal="center" vertical="center"/>
    </xf>
    <xf numFmtId="0" fontId="17" fillId="18" borderId="5" applyAlignment="1" pivotButton="0" quotePrefix="0" xfId="0">
      <alignment horizontal="center" vertical="center"/>
    </xf>
    <xf numFmtId="0" fontId="17" fillId="18" borderId="0" applyAlignment="1" pivotButton="0" quotePrefix="0" xfId="0">
      <alignment horizontal="center" vertical="center"/>
    </xf>
    <xf numFmtId="0" fontId="17" fillId="18" borderId="3" applyAlignment="1" pivotButton="0" quotePrefix="0" xfId="0">
      <alignment horizontal="center" vertical="center"/>
    </xf>
    <xf numFmtId="0" fontId="17" fillId="18" borderId="6" applyAlignment="1" pivotButton="0" quotePrefix="0" xfId="0">
      <alignment horizontal="center" vertical="center"/>
    </xf>
    <xf numFmtId="0" fontId="17" fillId="18" borderId="7" applyAlignment="1" pivotButton="0" quotePrefix="0" xfId="0">
      <alignment horizontal="center" vertical="center"/>
    </xf>
    <xf numFmtId="0" fontId="17" fillId="18" borderId="8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/>
    </xf>
    <xf numFmtId="0" fontId="18" fillId="18" borderId="2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8" fillId="18" borderId="3" applyAlignment="1" pivotButton="0" quotePrefix="0" xfId="0">
      <alignment horizontal="center" vertical="center"/>
    </xf>
    <xf numFmtId="0" fontId="18" fillId="18" borderId="6" applyAlignment="1" pivotButton="0" quotePrefix="0" xfId="0">
      <alignment horizontal="center" vertical="center"/>
    </xf>
    <xf numFmtId="0" fontId="18" fillId="18" borderId="7" applyAlignment="1" pivotButton="0" quotePrefix="0" xfId="0">
      <alignment horizontal="center" vertical="center"/>
    </xf>
    <xf numFmtId="0" fontId="18" fillId="18" borderId="8" applyAlignment="1" pivotButton="0" quotePrefix="0" xfId="0">
      <alignment horizontal="center" vertical="center"/>
    </xf>
    <xf numFmtId="0" fontId="21" fillId="6" borderId="23" applyAlignment="1" pivotButton="0" quotePrefix="0" xfId="0">
      <alignment horizontal="center" vertical="center"/>
    </xf>
    <xf numFmtId="0" fontId="21" fillId="6" borderId="19" applyAlignment="1" pivotButton="0" quotePrefix="0" xfId="0">
      <alignment horizontal="center" vertical="center"/>
    </xf>
    <xf numFmtId="0" fontId="21" fillId="6" borderId="20" applyAlignment="1" pivotButton="0" quotePrefix="0" xfId="0">
      <alignment horizontal="center" vertical="center"/>
    </xf>
    <xf numFmtId="0" fontId="2" fillId="6" borderId="9" pivotButton="0" quotePrefix="0" xfId="0"/>
    <xf numFmtId="0" fontId="24" fillId="6" borderId="9" applyAlignment="1" pivotButton="0" quotePrefix="0" xfId="0">
      <alignment horizontal="center" vertical="center" wrapText="1"/>
    </xf>
    <xf numFmtId="0" fontId="21" fillId="18" borderId="4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21" fillId="18" borderId="2" applyAlignment="1" pivotButton="0" quotePrefix="0" xfId="0">
      <alignment horizontal="center" vertical="center" wrapText="1"/>
    </xf>
    <xf numFmtId="0" fontId="21" fillId="18" borderId="5" applyAlignment="1" pivotButton="0" quotePrefix="0" xfId="0">
      <alignment horizontal="center" vertical="center" wrapText="1"/>
    </xf>
    <xf numFmtId="0" fontId="21" fillId="18" borderId="0" applyAlignment="1" pivotButton="0" quotePrefix="0" xfId="0">
      <alignment horizontal="center" vertical="center" wrapText="1"/>
    </xf>
    <xf numFmtId="0" fontId="21" fillId="18" borderId="3" applyAlignment="1" pivotButton="0" quotePrefix="0" xfId="0">
      <alignment horizontal="center" vertical="center" wrapText="1"/>
    </xf>
    <xf numFmtId="0" fontId="21" fillId="18" borderId="6" applyAlignment="1" pivotButton="0" quotePrefix="0" xfId="0">
      <alignment horizontal="center" vertical="center" wrapText="1"/>
    </xf>
    <xf numFmtId="0" fontId="21" fillId="18" borderId="7" applyAlignment="1" pivotButton="0" quotePrefix="0" xfId="0">
      <alignment horizontal="center" vertical="center" wrapText="1"/>
    </xf>
    <xf numFmtId="0" fontId="21" fillId="18" borderId="8" applyAlignment="1" pivotButton="0" quotePrefix="0" xfId="0">
      <alignment horizontal="center" vertical="center" wrapText="1"/>
    </xf>
    <xf numFmtId="0" fontId="19" fillId="18" borderId="4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/>
    </xf>
    <xf numFmtId="0" fontId="19" fillId="18" borderId="2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19" fillId="18" borderId="0" applyAlignment="1" pivotButton="0" quotePrefix="0" xfId="0">
      <alignment horizontal="center" vertical="center"/>
    </xf>
    <xf numFmtId="0" fontId="19" fillId="18" borderId="3" applyAlignment="1" pivotButton="0" quotePrefix="0" xfId="0">
      <alignment horizontal="center" vertical="center"/>
    </xf>
    <xf numFmtId="0" fontId="19" fillId="18" borderId="6" applyAlignment="1" pivotButton="0" quotePrefix="0" xfId="0">
      <alignment horizontal="center" vertical="center"/>
    </xf>
    <xf numFmtId="0" fontId="19" fillId="18" borderId="7" applyAlignment="1" pivotButton="0" quotePrefix="0" xfId="0">
      <alignment horizontal="center" vertical="center"/>
    </xf>
    <xf numFmtId="0" fontId="19" fillId="18" borderId="8" applyAlignment="1" pivotButton="0" quotePrefix="0" xfId="0">
      <alignment horizontal="center" vertical="center"/>
    </xf>
    <xf numFmtId="0" fontId="19" fillId="6" borderId="4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19" fillId="6" borderId="6" applyAlignment="1" pivotButton="0" quotePrefix="0" xfId="0">
      <alignment horizontal="center" vertical="center"/>
    </xf>
    <xf numFmtId="0" fontId="19" fillId="6" borderId="7" applyAlignment="1" pivotButton="0" quotePrefix="0" xfId="0">
      <alignment horizontal="center" vertical="center"/>
    </xf>
    <xf numFmtId="0" fontId="19" fillId="6" borderId="8" applyAlignment="1" pivotButton="0" quotePrefix="0" xfId="0">
      <alignment horizontal="center" vertical="center"/>
    </xf>
    <xf numFmtId="0" fontId="20" fillId="18" borderId="4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/>
    </xf>
    <xf numFmtId="0" fontId="20" fillId="18" borderId="2" applyAlignment="1" pivotButton="0" quotePrefix="0" xfId="0">
      <alignment horizontal="center" vertical="center"/>
    </xf>
    <xf numFmtId="0" fontId="20" fillId="18" borderId="5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20" fillId="18" borderId="3" applyAlignment="1" pivotButton="0" quotePrefix="0" xfId="0">
      <alignment horizontal="center" vertical="center"/>
    </xf>
    <xf numFmtId="0" fontId="20" fillId="18" borderId="23" applyAlignment="1" pivotButton="0" quotePrefix="0" xfId="0">
      <alignment horizontal="center" vertical="center"/>
    </xf>
    <xf numFmtId="0" fontId="20" fillId="18" borderId="19" applyAlignment="1" pivotButton="0" quotePrefix="0" xfId="0">
      <alignment horizontal="center" vertical="center"/>
    </xf>
    <xf numFmtId="0" fontId="20" fillId="18" borderId="20" applyAlignment="1" pivotButton="0" quotePrefix="0" xfId="0">
      <alignment horizontal="center" vertical="center"/>
    </xf>
    <xf numFmtId="0" fontId="19" fillId="17" borderId="5" applyAlignment="1" pivotButton="0" quotePrefix="0" xfId="0">
      <alignment horizontal="center" vertical="center"/>
    </xf>
    <xf numFmtId="0" fontId="19" fillId="17" borderId="0" applyAlignment="1" pivotButton="0" quotePrefix="0" xfId="0">
      <alignment horizontal="center" vertical="center"/>
    </xf>
    <xf numFmtId="0" fontId="19" fillId="17" borderId="3" applyAlignment="1" pivotButton="0" quotePrefix="0" xfId="0">
      <alignment horizontal="center" vertical="center"/>
    </xf>
    <xf numFmtId="0" fontId="19" fillId="17" borderId="6" applyAlignment="1" pivotButton="0" quotePrefix="0" xfId="0">
      <alignment horizontal="center" vertical="center"/>
    </xf>
    <xf numFmtId="0" fontId="19" fillId="17" borderId="7" applyAlignment="1" pivotButton="0" quotePrefix="0" xfId="0">
      <alignment horizontal="center" vertical="center"/>
    </xf>
    <xf numFmtId="0" fontId="19" fillId="17" borderId="8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21" fillId="18" borderId="2" applyAlignment="1" pivotButton="0" quotePrefix="0" xfId="0">
      <alignment horizontal="center" vertical="center"/>
    </xf>
    <xf numFmtId="0" fontId="21" fillId="18" borderId="5" applyAlignment="1" pivotButton="0" quotePrefix="0" xfId="0">
      <alignment horizontal="center" vertical="center"/>
    </xf>
    <xf numFmtId="0" fontId="21" fillId="18" borderId="0" applyAlignment="1" pivotButton="0" quotePrefix="0" xfId="0">
      <alignment horizontal="center" vertical="center"/>
    </xf>
    <xf numFmtId="0" fontId="21" fillId="18" borderId="3" applyAlignment="1" pivotButton="0" quotePrefix="0" xfId="0">
      <alignment horizontal="center" vertical="center"/>
    </xf>
    <xf numFmtId="0" fontId="21" fillId="18" borderId="6" applyAlignment="1" pivotButton="0" quotePrefix="0" xfId="0">
      <alignment horizontal="center" vertical="center"/>
    </xf>
    <xf numFmtId="0" fontId="21" fillId="18" borderId="7" applyAlignment="1" pivotButton="0" quotePrefix="0" xfId="0">
      <alignment horizontal="center" vertical="center"/>
    </xf>
    <xf numFmtId="0" fontId="21" fillId="18" borderId="8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center" vertical="center" wrapText="1"/>
    </xf>
    <xf numFmtId="0" fontId="17" fillId="16" borderId="5" applyAlignment="1" pivotButton="0" quotePrefix="0" xfId="0">
      <alignment horizontal="center" vertical="center" wrapText="1"/>
    </xf>
    <xf numFmtId="0" fontId="17" fillId="16" borderId="0" applyAlignment="1" pivotButton="0" quotePrefix="0" xfId="0">
      <alignment horizontal="center" vertical="center" wrapText="1"/>
    </xf>
    <xf numFmtId="0" fontId="17" fillId="16" borderId="3" applyAlignment="1" pivotButton="0" quotePrefix="0" xfId="0">
      <alignment horizontal="center" vertical="center" wrapText="1"/>
    </xf>
    <xf numFmtId="0" fontId="17" fillId="6" borderId="4" applyAlignment="1" pivotButton="0" quotePrefix="0" xfId="0">
      <alignment horizontal="center" wrapText="1"/>
    </xf>
    <xf numFmtId="0" fontId="17" fillId="6" borderId="1" applyAlignment="1" pivotButton="0" quotePrefix="0" xfId="0">
      <alignment horizontal="center"/>
    </xf>
    <xf numFmtId="0" fontId="17" fillId="6" borderId="2" applyAlignment="1" pivotButton="0" quotePrefix="0" xfId="0">
      <alignment horizontal="center"/>
    </xf>
    <xf numFmtId="0" fontId="17" fillId="6" borderId="5" applyAlignment="1" pivotButton="0" quotePrefix="0" xfId="0">
      <alignment horizontal="center"/>
    </xf>
    <xf numFmtId="0" fontId="17" fillId="6" borderId="0" applyAlignment="1" pivotButton="0" quotePrefix="0" xfId="0">
      <alignment horizontal="center"/>
    </xf>
    <xf numFmtId="0" fontId="17" fillId="6" borderId="3" applyAlignment="1" pivotButton="0" quotePrefix="0" xfId="0">
      <alignment horizontal="center"/>
    </xf>
    <xf numFmtId="0" fontId="17" fillId="6" borderId="6" applyAlignment="1" pivotButton="0" quotePrefix="0" xfId="0">
      <alignment horizontal="center"/>
    </xf>
    <xf numFmtId="0" fontId="17" fillId="6" borderId="7" applyAlignment="1" pivotButton="0" quotePrefix="0" xfId="0">
      <alignment horizontal="center"/>
    </xf>
    <xf numFmtId="0" fontId="17" fillId="6" borderId="8" applyAlignment="1" pivotButton="0" quotePrefix="0" xfId="0">
      <alignment horizontal="center"/>
    </xf>
    <xf numFmtId="0" fontId="2" fillId="14" borderId="9" pivotButton="0" quotePrefix="0" xfId="0"/>
    <xf numFmtId="0" fontId="2" fillId="0" borderId="4" applyAlignment="1" pivotButton="0" quotePrefix="0" xfId="0">
      <alignment horizontal="center" vertical="center"/>
    </xf>
    <xf numFmtId="0" fontId="13" fillId="13" borderId="4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3" fillId="13" borderId="5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0" fontId="13" fillId="13" borderId="6" applyAlignment="1" pivotButton="0" quotePrefix="0" xfId="0">
      <alignment horizontal="center" vertical="center"/>
    </xf>
    <xf numFmtId="0" fontId="13" fillId="13" borderId="7" applyAlignment="1" pivotButton="0" quotePrefix="0" xfId="0">
      <alignment horizontal="center" vertical="center"/>
    </xf>
    <xf numFmtId="0" fontId="13" fillId="13" borderId="8" applyAlignment="1" pivotButton="0" quotePrefix="0" xfId="0">
      <alignment horizontal="center" vertical="center"/>
    </xf>
    <xf numFmtId="0" fontId="2" fillId="9" borderId="4" applyAlignment="1" pivotButton="0" quotePrefix="0" xfId="3">
      <alignment horizontal="center" vertical="center"/>
    </xf>
    <xf numFmtId="0" fontId="2" fillId="9" borderId="1" applyAlignment="1" pivotButton="0" quotePrefix="0" xfId="3">
      <alignment horizontal="center" vertical="center"/>
    </xf>
    <xf numFmtId="0" fontId="2" fillId="9" borderId="2" applyAlignment="1" pivotButton="0" quotePrefix="0" xfId="3">
      <alignment horizontal="center" vertical="center"/>
    </xf>
    <xf numFmtId="0" fontId="2" fillId="9" borderId="5" applyAlignment="1" pivotButton="0" quotePrefix="0" xfId="3">
      <alignment horizontal="center" vertical="center"/>
    </xf>
    <xf numFmtId="0" fontId="2" fillId="9" borderId="0" applyAlignment="1" pivotButton="0" quotePrefix="0" xfId="3">
      <alignment horizontal="center" vertical="center"/>
    </xf>
    <xf numFmtId="0" fontId="2" fillId="9" borderId="3" applyAlignment="1" pivotButton="0" quotePrefix="0" xfId="3">
      <alignment horizontal="center" vertical="center"/>
    </xf>
    <xf numFmtId="0" fontId="2" fillId="9" borderId="6" applyAlignment="1" pivotButton="0" quotePrefix="0" xfId="3">
      <alignment horizontal="center" vertical="center"/>
    </xf>
    <xf numFmtId="0" fontId="2" fillId="9" borderId="7" applyAlignment="1" pivotButton="0" quotePrefix="0" xfId="3">
      <alignment horizontal="center" vertical="center"/>
    </xf>
    <xf numFmtId="0" fontId="2" fillId="9" borderId="8" applyAlignment="1" pivotButton="0" quotePrefix="0" xfId="3">
      <alignment horizontal="center" vertical="center"/>
    </xf>
    <xf numFmtId="0" fontId="2" fillId="13" borderId="4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0" fontId="2" fillId="13" borderId="5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3" borderId="3" applyAlignment="1" pivotButton="0" quotePrefix="0" xfId="0">
      <alignment horizontal="center" vertical="center"/>
    </xf>
    <xf numFmtId="0" fontId="2" fillId="13" borderId="6" applyAlignment="1" pivotButton="0" quotePrefix="0" xfId="0">
      <alignment horizontal="center" vertical="center"/>
    </xf>
    <xf numFmtId="0" fontId="2" fillId="13" borderId="7" applyAlignment="1" pivotButton="0" quotePrefix="0" xfId="0">
      <alignment horizontal="center" vertical="center"/>
    </xf>
    <xf numFmtId="0" fontId="2" fillId="13" borderId="8" applyAlignment="1" pivotButton="0" quotePrefix="0" xfId="0">
      <alignment horizontal="center" vertical="center"/>
    </xf>
    <xf numFmtId="0" fontId="13" fillId="13" borderId="4" applyAlignment="1" pivotButton="0" quotePrefix="0" xfId="0">
      <alignment horizontal="center" vertical="center" wrapText="1"/>
    </xf>
    <xf numFmtId="0" fontId="2" fillId="13" borderId="4" applyAlignment="1" pivotButton="0" quotePrefix="0" xfId="0">
      <alignment horizontal="center" vertical="center" wrapText="1"/>
    </xf>
    <xf numFmtId="49" fontId="12" fillId="9" borderId="14" applyAlignment="1" pivotButton="0" quotePrefix="0" xfId="4">
      <alignment horizontal="center" vertical="center"/>
    </xf>
    <xf numFmtId="49" fontId="12" fillId="9" borderId="15" applyAlignment="1" pivotButton="0" quotePrefix="0" xfId="4">
      <alignment horizontal="center" vertical="center"/>
    </xf>
    <xf numFmtId="49" fontId="12" fillId="9" borderId="21" applyAlignment="1" pivotButton="0" quotePrefix="0" xfId="4">
      <alignment horizontal="center" vertical="center"/>
    </xf>
    <xf numFmtId="49" fontId="12" fillId="9" borderId="17" applyAlignment="1" pivotButton="0" quotePrefix="0" xfId="4">
      <alignment horizontal="center" vertical="center"/>
    </xf>
    <xf numFmtId="49" fontId="12" fillId="9" borderId="0" applyAlignment="1" pivotButton="0" quotePrefix="0" xfId="4">
      <alignment horizontal="center" vertical="center"/>
    </xf>
    <xf numFmtId="49" fontId="12" fillId="9" borderId="12" applyAlignment="1" pivotButton="0" quotePrefix="0" xfId="4">
      <alignment horizontal="center" vertical="center"/>
    </xf>
    <xf numFmtId="49" fontId="12" fillId="9" borderId="22" applyAlignment="1" pivotButton="0" quotePrefix="0" xfId="4">
      <alignment horizontal="center" vertical="center"/>
    </xf>
    <xf numFmtId="49" fontId="12" fillId="9" borderId="7" applyAlignment="1" pivotButton="0" quotePrefix="0" xfId="4">
      <alignment horizontal="center" vertical="center"/>
    </xf>
    <xf numFmtId="49" fontId="12" fillId="9" borderId="13" applyAlignment="1" pivotButton="0" quotePrefix="0" xfId="4">
      <alignment horizontal="center" vertical="center"/>
    </xf>
    <xf numFmtId="0" fontId="2" fillId="9" borderId="4" applyAlignment="1" pivotButton="0" quotePrefix="0" xfId="2">
      <alignment horizontal="center" vertical="center"/>
    </xf>
    <xf numFmtId="0" fontId="2" fillId="9" borderId="1" applyAlignment="1" pivotButton="0" quotePrefix="0" xfId="2">
      <alignment horizontal="center" vertical="center"/>
    </xf>
    <xf numFmtId="0" fontId="2" fillId="9" borderId="2" applyAlignment="1" pivotButton="0" quotePrefix="0" xfId="2">
      <alignment horizontal="center" vertical="center"/>
    </xf>
    <xf numFmtId="0" fontId="2" fillId="9" borderId="5" applyAlignment="1" pivotButton="0" quotePrefix="0" xfId="2">
      <alignment horizontal="center" vertical="center"/>
    </xf>
    <xf numFmtId="0" fontId="2" fillId="9" borderId="0" applyAlignment="1" pivotButton="0" quotePrefix="0" xfId="2">
      <alignment horizontal="center" vertical="center"/>
    </xf>
    <xf numFmtId="0" fontId="2" fillId="9" borderId="3" applyAlignment="1" pivotButton="0" quotePrefix="0" xfId="2">
      <alignment horizontal="center" vertical="center"/>
    </xf>
    <xf numFmtId="0" fontId="2" fillId="9" borderId="6" applyAlignment="1" pivotButton="0" quotePrefix="0" xfId="2">
      <alignment horizontal="center" vertical="center"/>
    </xf>
    <xf numFmtId="0" fontId="2" fillId="9" borderId="7" applyAlignment="1" pivotButton="0" quotePrefix="0" xfId="2">
      <alignment horizontal="center" vertical="center"/>
    </xf>
    <xf numFmtId="0" fontId="2" fillId="9" borderId="8" applyAlignment="1" pivotButton="0" quotePrefix="0" xfId="2">
      <alignment horizontal="center" vertical="center"/>
    </xf>
    <xf numFmtId="0" fontId="10" fillId="9" borderId="4" applyAlignment="1" pivotButton="0" quotePrefix="0" xfId="2">
      <alignment horizontal="center" vertical="center"/>
    </xf>
    <xf numFmtId="0" fontId="10" fillId="9" borderId="1" applyAlignment="1" pivotButton="0" quotePrefix="0" xfId="2">
      <alignment horizontal="center" vertical="center"/>
    </xf>
    <xf numFmtId="0" fontId="10" fillId="9" borderId="2" applyAlignment="1" pivotButton="0" quotePrefix="0" xfId="2">
      <alignment horizontal="center" vertical="center"/>
    </xf>
    <xf numFmtId="0" fontId="10" fillId="9" borderId="5" applyAlignment="1" pivotButton="0" quotePrefix="0" xfId="2">
      <alignment horizontal="center" vertical="center"/>
    </xf>
    <xf numFmtId="0" fontId="10" fillId="9" borderId="0" applyAlignment="1" pivotButton="0" quotePrefix="0" xfId="2">
      <alignment horizontal="center" vertical="center"/>
    </xf>
    <xf numFmtId="0" fontId="10" fillId="9" borderId="3" applyAlignment="1" pivotButton="0" quotePrefix="0" xfId="2">
      <alignment horizontal="center" vertical="center"/>
    </xf>
    <xf numFmtId="0" fontId="10" fillId="9" borderId="6" applyAlignment="1" pivotButton="0" quotePrefix="0" xfId="2">
      <alignment horizontal="center" vertical="center"/>
    </xf>
    <xf numFmtId="0" fontId="10" fillId="9" borderId="7" applyAlignment="1" pivotButton="0" quotePrefix="0" xfId="2">
      <alignment horizontal="center" vertical="center"/>
    </xf>
    <xf numFmtId="0" fontId="10" fillId="9" borderId="8" applyAlignment="1" pivotButton="0" quotePrefix="0" xfId="2">
      <alignment horizontal="center" vertical="center"/>
    </xf>
    <xf numFmtId="0" fontId="2" fillId="15" borderId="4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5" borderId="3" applyAlignment="1" pivotButton="0" quotePrefix="0" xfId="0">
      <alignment horizontal="center" vertical="center"/>
    </xf>
    <xf numFmtId="0" fontId="2" fillId="15" borderId="6" applyAlignment="1" pivotButton="0" quotePrefix="0" xfId="0">
      <alignment horizontal="center" vertical="center"/>
    </xf>
    <xf numFmtId="0" fontId="2" fillId="15" borderId="7" applyAlignment="1" pivotButton="0" quotePrefix="0" xfId="0">
      <alignment horizontal="center" vertical="center"/>
    </xf>
    <xf numFmtId="0" fontId="2" fillId="15" borderId="8" applyAlignment="1" pivotButton="0" quotePrefix="0" xfId="0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2" fillId="0" borderId="2" applyAlignment="1" pivotButton="0" quotePrefix="0" xfId="3">
      <alignment horizontal="center" vertical="center"/>
    </xf>
    <xf numFmtId="0" fontId="2" fillId="0" borderId="5" applyAlignment="1" pivotButton="0" quotePrefix="0" xfId="3">
      <alignment horizontal="center" vertical="center"/>
    </xf>
    <xf numFmtId="0" fontId="2" fillId="0" borderId="0" applyAlignment="1" pivotButton="0" quotePrefix="0" xfId="3">
      <alignment horizontal="center" vertical="center"/>
    </xf>
    <xf numFmtId="0" fontId="2" fillId="0" borderId="3" applyAlignment="1" pivotButton="0" quotePrefix="0" xfId="3">
      <alignment horizontal="center" vertical="center"/>
    </xf>
    <xf numFmtId="0" fontId="2" fillId="0" borderId="6" applyAlignment="1" pivotButton="0" quotePrefix="0" xfId="3">
      <alignment horizontal="center" vertical="center"/>
    </xf>
    <xf numFmtId="0" fontId="2" fillId="0" borderId="7" applyAlignment="1" pivotButton="0" quotePrefix="0" xfId="3">
      <alignment horizontal="center" vertical="center"/>
    </xf>
    <xf numFmtId="0" fontId="2" fillId="0" borderId="8" applyAlignment="1" pivotButton="0" quotePrefix="0" xfId="3">
      <alignment horizontal="center" vertical="center"/>
    </xf>
    <xf numFmtId="0" fontId="5" fillId="0" borderId="4" applyAlignment="1" pivotButton="0" quotePrefix="0" xfId="3">
      <alignment horizontal="center" vertical="center"/>
    </xf>
    <xf numFmtId="0" fontId="5" fillId="0" borderId="1" applyAlignment="1" pivotButton="0" quotePrefix="0" xfId="3">
      <alignment horizontal="center" vertical="center"/>
    </xf>
    <xf numFmtId="0" fontId="5" fillId="0" borderId="2" applyAlignment="1" pivotButton="0" quotePrefix="0" xfId="3">
      <alignment horizontal="center" vertical="center"/>
    </xf>
    <xf numFmtId="0" fontId="5" fillId="0" borderId="5" applyAlignment="1" pivotButton="0" quotePrefix="0" xfId="3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5" fillId="0" borderId="3" applyAlignment="1" pivotButton="0" quotePrefix="0" xfId="3">
      <alignment horizontal="center" vertical="center"/>
    </xf>
    <xf numFmtId="0" fontId="5" fillId="0" borderId="6" applyAlignment="1" pivotButton="0" quotePrefix="0" xfId="3">
      <alignment horizontal="center" vertical="center"/>
    </xf>
    <xf numFmtId="0" fontId="5" fillId="0" borderId="7" applyAlignment="1" pivotButton="0" quotePrefix="0" xfId="3">
      <alignment horizontal="center" vertical="center"/>
    </xf>
    <xf numFmtId="0" fontId="5" fillId="0" borderId="8" applyAlignment="1" pivotButton="0" quotePrefix="0" xfId="3">
      <alignment horizontal="center" vertical="center"/>
    </xf>
    <xf numFmtId="0" fontId="2" fillId="0" borderId="4" applyAlignment="1" pivotButton="0" quotePrefix="0" xfId="3">
      <alignment horizontal="center" vertical="center"/>
    </xf>
    <xf numFmtId="0" fontId="2" fillId="9" borderId="4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2" applyAlignment="1" pivotButton="0" quotePrefix="0" xfId="0">
      <alignment horizontal="center"/>
    </xf>
    <xf numFmtId="0" fontId="2" fillId="9" borderId="5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9" borderId="3" applyAlignment="1" pivotButton="0" quotePrefix="0" xfId="0">
      <alignment horizontal="center"/>
    </xf>
    <xf numFmtId="0" fontId="2" fillId="9" borderId="6" applyAlignment="1" pivotButton="0" quotePrefix="0" xfId="0">
      <alignment horizontal="center"/>
    </xf>
    <xf numFmtId="0" fontId="2" fillId="9" borderId="7" applyAlignment="1" pivotButton="0" quotePrefix="0" xfId="0">
      <alignment horizontal="center"/>
    </xf>
    <xf numFmtId="0" fontId="2" fillId="9" borderId="8" applyAlignment="1" pivotButton="0" quotePrefix="0" xfId="0">
      <alignment horizontal="center"/>
    </xf>
    <xf numFmtId="0" fontId="13" fillId="13" borderId="25" applyAlignment="1" pivotButton="0" quotePrefix="0" xfId="0">
      <alignment horizontal="center" vertical="center"/>
    </xf>
    <xf numFmtId="0" fontId="13" fillId="13" borderId="15" applyAlignment="1" pivotButton="0" quotePrefix="0" xfId="0">
      <alignment horizontal="center" vertical="center"/>
    </xf>
    <xf numFmtId="0" fontId="13" fillId="13" borderId="16" applyAlignment="1" pivotButton="0" quotePrefix="0" xfId="0">
      <alignment horizontal="center" vertical="center"/>
    </xf>
    <xf numFmtId="0" fontId="14" fillId="13" borderId="4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14" fillId="13" borderId="5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4" fillId="13" borderId="3" applyAlignment="1" pivotButton="0" quotePrefix="0" xfId="0">
      <alignment horizontal="center" vertical="center"/>
    </xf>
    <xf numFmtId="0" fontId="14" fillId="13" borderId="6" applyAlignment="1" pivotButton="0" quotePrefix="0" xfId="0">
      <alignment horizontal="center" vertical="center"/>
    </xf>
    <xf numFmtId="0" fontId="14" fillId="13" borderId="7" applyAlignment="1" pivotButton="0" quotePrefix="0" xfId="0">
      <alignment horizontal="center" vertical="center"/>
    </xf>
    <xf numFmtId="0" fontId="14" fillId="13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8" fillId="0" borderId="24" applyAlignment="1" pivotButton="0" quotePrefix="0" xfId="3">
      <alignment horizontal="center" vertical="center"/>
    </xf>
    <xf numFmtId="0" fontId="8" fillId="0" borderId="17" applyAlignment="1" pivotButton="0" quotePrefix="0" xfId="3">
      <alignment horizontal="center" vertical="center"/>
    </xf>
    <xf numFmtId="0" fontId="8" fillId="0" borderId="22" applyAlignment="1" pivotButton="0" quotePrefix="0" xfId="3">
      <alignment horizontal="center" vertical="center"/>
    </xf>
    <xf numFmtId="0" fontId="14" fillId="10" borderId="4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4" fillId="10" borderId="5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 vertical="center"/>
    </xf>
    <xf numFmtId="0" fontId="14" fillId="10" borderId="6" applyAlignment="1" pivotButton="0" quotePrefix="0" xfId="0">
      <alignment horizontal="center" vertical="center"/>
    </xf>
    <xf numFmtId="0" fontId="14" fillId="10" borderId="7" applyAlignment="1" pivotButton="0" quotePrefix="0" xfId="0">
      <alignment horizontal="center" vertical="center"/>
    </xf>
    <xf numFmtId="0" fontId="14" fillId="10" borderId="8" applyAlignment="1" pivotButton="0" quotePrefix="0" xfId="0">
      <alignment horizontal="center" vertical="center"/>
    </xf>
    <xf numFmtId="0" fontId="5" fillId="11" borderId="4" applyAlignment="1" pivotButton="0" quotePrefix="0" xfId="3">
      <alignment horizontal="center" vertical="center"/>
    </xf>
    <xf numFmtId="0" fontId="5" fillId="11" borderId="1" applyAlignment="1" pivotButton="0" quotePrefix="0" xfId="3">
      <alignment horizontal="center" vertical="center"/>
    </xf>
    <xf numFmtId="0" fontId="5" fillId="11" borderId="2" applyAlignment="1" pivotButton="0" quotePrefix="0" xfId="3">
      <alignment horizontal="center" vertical="center"/>
    </xf>
    <xf numFmtId="0" fontId="5" fillId="11" borderId="5" applyAlignment="1" pivotButton="0" quotePrefix="0" xfId="3">
      <alignment horizontal="center" vertical="center"/>
    </xf>
    <xf numFmtId="0" fontId="5" fillId="11" borderId="0" applyAlignment="1" pivotButton="0" quotePrefix="0" xfId="3">
      <alignment horizontal="center" vertical="center"/>
    </xf>
    <xf numFmtId="0" fontId="5" fillId="11" borderId="3" applyAlignment="1" pivotButton="0" quotePrefix="0" xfId="3">
      <alignment horizontal="center" vertical="center"/>
    </xf>
    <xf numFmtId="0" fontId="5" fillId="11" borderId="6" applyAlignment="1" pivotButton="0" quotePrefix="0" xfId="3">
      <alignment horizontal="center" vertical="center"/>
    </xf>
    <xf numFmtId="0" fontId="5" fillId="11" borderId="7" applyAlignment="1" pivotButton="0" quotePrefix="0" xfId="3">
      <alignment horizontal="center" vertical="center"/>
    </xf>
    <xf numFmtId="0" fontId="5" fillId="11" borderId="8" applyAlignment="1" pivotButton="0" quotePrefix="0" xfId="3">
      <alignment horizontal="center" vertical="center"/>
    </xf>
    <xf numFmtId="0" fontId="2" fillId="11" borderId="4" applyAlignment="1" pivotButton="0" quotePrefix="0" xfId="3">
      <alignment horizontal="center" vertical="center"/>
    </xf>
    <xf numFmtId="0" fontId="2" fillId="11" borderId="1" applyAlignment="1" pivotButton="0" quotePrefix="0" xfId="3">
      <alignment horizontal="center" vertical="center"/>
    </xf>
    <xf numFmtId="0" fontId="2" fillId="11" borderId="2" applyAlignment="1" pivotButton="0" quotePrefix="0" xfId="3">
      <alignment horizontal="center" vertical="center"/>
    </xf>
    <xf numFmtId="0" fontId="2" fillId="11" borderId="5" applyAlignment="1" pivotButton="0" quotePrefix="0" xfId="3">
      <alignment horizontal="center" vertical="center"/>
    </xf>
    <xf numFmtId="0" fontId="2" fillId="11" borderId="0" applyAlignment="1" pivotButton="0" quotePrefix="0" xfId="3">
      <alignment horizontal="center" vertical="center"/>
    </xf>
    <xf numFmtId="0" fontId="2" fillId="11" borderId="3" applyAlignment="1" pivotButton="0" quotePrefix="0" xfId="3">
      <alignment horizontal="center" vertical="center"/>
    </xf>
    <xf numFmtId="0" fontId="2" fillId="11" borderId="6" applyAlignment="1" pivotButton="0" quotePrefix="0" xfId="3">
      <alignment horizontal="center" vertical="center"/>
    </xf>
    <xf numFmtId="0" fontId="2" fillId="11" borderId="7" applyAlignment="1" pivotButton="0" quotePrefix="0" xfId="3">
      <alignment horizontal="center" vertical="center"/>
    </xf>
    <xf numFmtId="0" fontId="2" fillId="11" borderId="8" applyAlignment="1" pivotButton="0" quotePrefix="0" xfId="3">
      <alignment horizontal="center" vertical="center"/>
    </xf>
    <xf numFmtId="0" fontId="15" fillId="12" borderId="4" applyAlignment="1" pivotButton="0" quotePrefix="0" xfId="3">
      <alignment horizontal="center" vertical="center"/>
    </xf>
    <xf numFmtId="0" fontId="15" fillId="12" borderId="1" applyAlignment="1" pivotButton="0" quotePrefix="0" xfId="3">
      <alignment horizontal="center" vertical="center"/>
    </xf>
    <xf numFmtId="0" fontId="15" fillId="12" borderId="2" applyAlignment="1" pivotButton="0" quotePrefix="0" xfId="3">
      <alignment horizontal="center" vertical="center"/>
    </xf>
    <xf numFmtId="0" fontId="15" fillId="12" borderId="5" applyAlignment="1" pivotButton="0" quotePrefix="0" xfId="3">
      <alignment horizontal="center" vertical="center"/>
    </xf>
    <xf numFmtId="0" fontId="15" fillId="12" borderId="0" applyAlignment="1" pivotButton="0" quotePrefix="0" xfId="3">
      <alignment horizontal="center" vertical="center"/>
    </xf>
    <xf numFmtId="0" fontId="15" fillId="12" borderId="3" applyAlignment="1" pivotButton="0" quotePrefix="0" xfId="3">
      <alignment horizontal="center" vertical="center"/>
    </xf>
    <xf numFmtId="0" fontId="15" fillId="12" borderId="6" applyAlignment="1" pivotButton="0" quotePrefix="0" xfId="3">
      <alignment horizontal="center" vertical="center"/>
    </xf>
    <xf numFmtId="0" fontId="15" fillId="12" borderId="7" applyAlignment="1" pivotButton="0" quotePrefix="0" xfId="3">
      <alignment horizontal="center" vertical="center"/>
    </xf>
    <xf numFmtId="0" fontId="15" fillId="12" borderId="8" applyAlignment="1" pivotButton="0" quotePrefix="0" xfId="3">
      <alignment horizontal="center" vertical="center"/>
    </xf>
    <xf numFmtId="0" fontId="8" fillId="12" borderId="4" applyAlignment="1" pivotButton="0" quotePrefix="0" xfId="3">
      <alignment horizontal="center" vertical="center"/>
    </xf>
    <xf numFmtId="0" fontId="8" fillId="12" borderId="1" applyAlignment="1" pivotButton="0" quotePrefix="0" xfId="3">
      <alignment horizontal="center" vertical="center"/>
    </xf>
    <xf numFmtId="0" fontId="8" fillId="12" borderId="2" applyAlignment="1" pivotButton="0" quotePrefix="0" xfId="3">
      <alignment horizontal="center" vertical="center"/>
    </xf>
    <xf numFmtId="0" fontId="8" fillId="12" borderId="5" applyAlignment="1" pivotButton="0" quotePrefix="0" xfId="3">
      <alignment horizontal="center" vertical="center"/>
    </xf>
    <xf numFmtId="0" fontId="8" fillId="12" borderId="0" applyAlignment="1" pivotButton="0" quotePrefix="0" xfId="3">
      <alignment horizontal="center" vertical="center"/>
    </xf>
    <xf numFmtId="0" fontId="8" fillId="12" borderId="3" applyAlignment="1" pivotButton="0" quotePrefix="0" xfId="3">
      <alignment horizontal="center" vertical="center"/>
    </xf>
    <xf numFmtId="0" fontId="8" fillId="12" borderId="6" applyAlignment="1" pivotButton="0" quotePrefix="0" xfId="3">
      <alignment horizontal="center" vertical="center"/>
    </xf>
    <xf numFmtId="0" fontId="8" fillId="12" borderId="7" applyAlignment="1" pivotButton="0" quotePrefix="0" xfId="3">
      <alignment horizontal="center" vertical="center"/>
    </xf>
    <xf numFmtId="0" fontId="8" fillId="12" borderId="8" applyAlignment="1" pivotButton="0" quotePrefix="0" xfId="3">
      <alignment horizontal="center" vertical="center"/>
    </xf>
    <xf numFmtId="0" fontId="8" fillId="9" borderId="24" applyAlignment="1" pivotButton="0" quotePrefix="0" xfId="3">
      <alignment horizontal="center" vertical="center"/>
    </xf>
    <xf numFmtId="0" fontId="8" fillId="9" borderId="1" applyAlignment="1" pivotButton="0" quotePrefix="0" xfId="3">
      <alignment horizontal="center" vertical="center"/>
    </xf>
    <xf numFmtId="0" fontId="8" fillId="9" borderId="2" applyAlignment="1" pivotButton="0" quotePrefix="0" xfId="3">
      <alignment horizontal="center" vertical="center"/>
    </xf>
    <xf numFmtId="0" fontId="8" fillId="9" borderId="17" applyAlignment="1" pivotButton="0" quotePrefix="0" xfId="3">
      <alignment horizontal="center" vertical="center"/>
    </xf>
    <xf numFmtId="0" fontId="8" fillId="9" borderId="0" applyAlignment="1" pivotButton="0" quotePrefix="0" xfId="3">
      <alignment horizontal="center" vertical="center"/>
    </xf>
    <xf numFmtId="0" fontId="8" fillId="9" borderId="3" applyAlignment="1" pivotButton="0" quotePrefix="0" xfId="3">
      <alignment horizontal="center" vertical="center"/>
    </xf>
    <xf numFmtId="0" fontId="8" fillId="9" borderId="22" applyAlignment="1" pivotButton="0" quotePrefix="0" xfId="3">
      <alignment horizontal="center" vertical="center"/>
    </xf>
    <xf numFmtId="0" fontId="8" fillId="9" borderId="7" applyAlignment="1" pivotButton="0" quotePrefix="0" xfId="3">
      <alignment horizontal="center" vertical="center"/>
    </xf>
    <xf numFmtId="0" fontId="8" fillId="9" borderId="8" applyAlignment="1" pivotButton="0" quotePrefix="0" xfId="3">
      <alignment horizontal="center" vertical="center"/>
    </xf>
    <xf numFmtId="0" fontId="7" fillId="12" borderId="9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0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7" fillId="3" borderId="4" applyAlignment="1" pivotButton="0" quotePrefix="0" xfId="2">
      <alignment horizontal="center" vertical="center"/>
    </xf>
    <xf numFmtId="0" fontId="7" fillId="3" borderId="1" applyAlignment="1" pivotButton="0" quotePrefix="0" xfId="2">
      <alignment horizontal="center" vertical="center"/>
    </xf>
    <xf numFmtId="0" fontId="7" fillId="3" borderId="2" applyAlignment="1" pivotButton="0" quotePrefix="0" xfId="2">
      <alignment horizontal="center" vertical="center"/>
    </xf>
    <xf numFmtId="0" fontId="7" fillId="3" borderId="5" applyAlignment="1" pivotButton="0" quotePrefix="0" xfId="2">
      <alignment horizontal="center" vertical="center"/>
    </xf>
    <xf numFmtId="0" fontId="7" fillId="3" borderId="0" applyAlignment="1" pivotButton="0" quotePrefix="0" xfId="2">
      <alignment horizontal="center" vertical="center"/>
    </xf>
    <xf numFmtId="0" fontId="7" fillId="3" borderId="3" applyAlignment="1" pivotButton="0" quotePrefix="0" xfId="2">
      <alignment horizontal="center" vertical="center"/>
    </xf>
    <xf numFmtId="0" fontId="7" fillId="3" borderId="6" applyAlignment="1" pivotButton="0" quotePrefix="0" xfId="2">
      <alignment horizontal="center" vertical="center"/>
    </xf>
    <xf numFmtId="0" fontId="7" fillId="3" borderId="7" applyAlignment="1" pivotButton="0" quotePrefix="0" xfId="2">
      <alignment horizontal="center" vertical="center"/>
    </xf>
    <xf numFmtId="0" fontId="7" fillId="3" borderId="8" applyAlignment="1" pivotButton="0" quotePrefix="0" xfId="2">
      <alignment horizontal="center" vertical="center"/>
    </xf>
    <xf numFmtId="0" fontId="5" fillId="3" borderId="14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5" fillId="3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18" applyAlignment="1" pivotButton="0" quotePrefix="0" xfId="0">
      <alignment horizontal="center" vertical="center" wrapText="1"/>
    </xf>
    <xf numFmtId="0" fontId="5" fillId="3" borderId="19" applyAlignment="1" pivotButton="0" quotePrefix="0" xfId="0">
      <alignment horizontal="center" vertical="center" wrapText="1"/>
    </xf>
    <xf numFmtId="0" fontId="5" fillId="3" borderId="20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9" fillId="3" borderId="4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2" applyAlignment="1" pivotButton="0" quotePrefix="0" xfId="3">
      <alignment horizontal="center" vertical="center"/>
    </xf>
    <xf numFmtId="0" fontId="9" fillId="3" borderId="5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3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9" fillId="3" borderId="7" applyAlignment="1" pivotButton="0" quotePrefix="0" xfId="3">
      <alignment horizontal="center" vertical="center"/>
    </xf>
    <xf numFmtId="0" fontId="9" fillId="3" borderId="8" applyAlignment="1" pivotButton="0" quotePrefix="0" xfId="3">
      <alignment horizontal="center" vertical="center"/>
    </xf>
    <xf numFmtId="0" fontId="8" fillId="3" borderId="4" applyAlignment="1" pivotButton="0" quotePrefix="0" xfId="3">
      <alignment horizontal="center" vertical="center"/>
    </xf>
    <xf numFmtId="0" fontId="8" fillId="3" borderId="1" applyAlignment="1" pivotButton="0" quotePrefix="0" xfId="3">
      <alignment horizontal="center" vertical="center"/>
    </xf>
    <xf numFmtId="0" fontId="8" fillId="3" borderId="2" applyAlignment="1" pivotButton="0" quotePrefix="0" xfId="3">
      <alignment horizontal="center" vertical="center"/>
    </xf>
    <xf numFmtId="0" fontId="8" fillId="3" borderId="5" applyAlignment="1" pivotButton="0" quotePrefix="0" xfId="3">
      <alignment horizontal="center" vertical="center"/>
    </xf>
    <xf numFmtId="0" fontId="8" fillId="3" borderId="0" applyAlignment="1" pivotButton="0" quotePrefix="0" xfId="3">
      <alignment horizontal="center" vertical="center"/>
    </xf>
    <xf numFmtId="0" fontId="8" fillId="3" borderId="3" applyAlignment="1" pivotButton="0" quotePrefix="0" xfId="3">
      <alignment horizontal="center" vertical="center"/>
    </xf>
    <xf numFmtId="0" fontId="8" fillId="3" borderId="6" applyAlignment="1" pivotButton="0" quotePrefix="0" xfId="3">
      <alignment horizontal="center" vertical="center"/>
    </xf>
    <xf numFmtId="0" fontId="8" fillId="3" borderId="7" applyAlignment="1" pivotButton="0" quotePrefix="0" xfId="3">
      <alignment horizontal="center" vertical="center"/>
    </xf>
    <xf numFmtId="0" fontId="8" fillId="3" borderId="8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/>
    </xf>
    <xf numFmtId="0" fontId="2" fillId="3" borderId="1" applyAlignment="1" pivotButton="0" quotePrefix="0" xfId="3">
      <alignment horizontal="center" vertical="center"/>
    </xf>
    <xf numFmtId="0" fontId="2" fillId="3" borderId="11" applyAlignment="1" pivotButton="0" quotePrefix="0" xfId="3">
      <alignment horizontal="center" vertical="center"/>
    </xf>
    <xf numFmtId="0" fontId="2" fillId="3" borderId="5" applyAlignment="1" pivotButton="0" quotePrefix="0" xfId="3">
      <alignment horizontal="center" vertical="center"/>
    </xf>
    <xf numFmtId="0" fontId="2" fillId="3" borderId="0" applyAlignment="1" pivotButton="0" quotePrefix="0" xfId="3">
      <alignment horizontal="center" vertical="center"/>
    </xf>
    <xf numFmtId="0" fontId="2" fillId="3" borderId="12" applyAlignment="1" pivotButton="0" quotePrefix="0" xfId="3">
      <alignment horizontal="center" vertical="center"/>
    </xf>
    <xf numFmtId="0" fontId="2" fillId="3" borderId="6" applyAlignment="1" pivotButton="0" quotePrefix="0" xfId="3">
      <alignment horizontal="center" vertical="center"/>
    </xf>
    <xf numFmtId="0" fontId="2" fillId="3" borderId="7" applyAlignment="1" pivotButton="0" quotePrefix="0" xfId="3">
      <alignment horizontal="center" vertical="center"/>
    </xf>
    <xf numFmtId="0" fontId="2" fillId="3" borderId="13" applyAlignment="1" pivotButton="0" quotePrefix="0" xfId="3">
      <alignment horizontal="center" vertical="center"/>
    </xf>
    <xf numFmtId="0" fontId="5" fillId="4" borderId="9" applyAlignment="1" pivotButton="0" quotePrefix="0" xfId="0">
      <alignment horizontal="center" vertical="center" wrapText="1"/>
    </xf>
    <xf numFmtId="0" fontId="2" fillId="3" borderId="2" applyAlignment="1" pivotButton="0" quotePrefix="0" xfId="3">
      <alignment horizontal="center" vertical="center"/>
    </xf>
    <xf numFmtId="0" fontId="2" fillId="3" borderId="3" applyAlignment="1" pivotButton="0" quotePrefix="0" xfId="3">
      <alignment horizontal="center" vertical="center"/>
    </xf>
    <xf numFmtId="0" fontId="2" fillId="3" borderId="8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 wrapText="1"/>
    </xf>
    <xf numFmtId="0" fontId="7" fillId="4" borderId="14" applyAlignment="1" pivotButton="0" quotePrefix="0" xfId="0">
      <alignment horizontal="center" vertical="center" wrapText="1"/>
    </xf>
    <xf numFmtId="0" fontId="7" fillId="4" borderId="15" applyAlignment="1" pivotButton="0" quotePrefix="0" xfId="0">
      <alignment horizontal="center" vertical="center" wrapText="1"/>
    </xf>
    <xf numFmtId="0" fontId="7" fillId="4" borderId="16" applyAlignment="1" pivotButton="0" quotePrefix="0" xfId="0">
      <alignment horizontal="center" vertical="center" wrapText="1"/>
    </xf>
    <xf numFmtId="0" fontId="7" fillId="4" borderId="17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4" borderId="18" applyAlignment="1" pivotButton="0" quotePrefix="0" xfId="0">
      <alignment horizontal="center" vertical="center" wrapText="1"/>
    </xf>
    <xf numFmtId="0" fontId="7" fillId="4" borderId="19" applyAlignment="1" pivotButton="0" quotePrefix="0" xfId="0">
      <alignment horizontal="center" vertical="center" wrapText="1"/>
    </xf>
    <xf numFmtId="0" fontId="7" fillId="4" borderId="20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9" fillId="25" borderId="4" applyAlignment="1" pivotButton="0" quotePrefix="0" xfId="3">
      <alignment horizontal="center" vertical="center" wrapText="1"/>
    </xf>
    <xf numFmtId="0" fontId="9" fillId="25" borderId="1" applyAlignment="1" pivotButton="0" quotePrefix="0" xfId="3">
      <alignment horizontal="center" vertical="center" wrapText="1"/>
    </xf>
    <xf numFmtId="0" fontId="9" fillId="25" borderId="2" applyAlignment="1" pivotButton="0" quotePrefix="0" xfId="3">
      <alignment horizontal="center" vertical="center" wrapText="1"/>
    </xf>
    <xf numFmtId="0" fontId="9" fillId="25" borderId="5" applyAlignment="1" pivotButton="0" quotePrefix="0" xfId="3">
      <alignment horizontal="center" vertical="center" wrapText="1"/>
    </xf>
    <xf numFmtId="0" fontId="9" fillId="25" borderId="0" applyAlignment="1" pivotButton="0" quotePrefix="0" xfId="3">
      <alignment horizontal="center" vertical="center" wrapText="1"/>
    </xf>
    <xf numFmtId="0" fontId="9" fillId="25" borderId="3" applyAlignment="1" pivotButton="0" quotePrefix="0" xfId="3">
      <alignment horizontal="center" vertical="center" wrapText="1"/>
    </xf>
    <xf numFmtId="0" fontId="9" fillId="25" borderId="6" applyAlignment="1" pivotButton="0" quotePrefix="0" xfId="3">
      <alignment horizontal="center" vertical="center" wrapText="1"/>
    </xf>
    <xf numFmtId="0" fontId="9" fillId="25" borderId="7" applyAlignment="1" pivotButton="0" quotePrefix="0" xfId="3">
      <alignment horizontal="center" vertical="center" wrapText="1"/>
    </xf>
    <xf numFmtId="0" fontId="9" fillId="25" borderId="8" applyAlignment="1" pivotButton="0" quotePrefix="0" xfId="3">
      <alignment horizontal="center" vertical="center" wrapText="1"/>
    </xf>
    <xf numFmtId="0" fontId="37" fillId="25" borderId="4" applyAlignment="1" pivotButton="0" quotePrefix="0" xfId="3">
      <alignment horizontal="center" vertical="center" wrapText="1"/>
    </xf>
    <xf numFmtId="0" fontId="37" fillId="25" borderId="1" applyAlignment="1" pivotButton="0" quotePrefix="0" xfId="3">
      <alignment horizontal="center" vertical="center" wrapText="1"/>
    </xf>
    <xf numFmtId="0" fontId="37" fillId="25" borderId="2" applyAlignment="1" pivotButton="0" quotePrefix="0" xfId="3">
      <alignment horizontal="center" vertical="center" wrapText="1"/>
    </xf>
    <xf numFmtId="0" fontId="37" fillId="25" borderId="5" applyAlignment="1" pivotButton="0" quotePrefix="0" xfId="3">
      <alignment horizontal="center" vertical="center" wrapText="1"/>
    </xf>
    <xf numFmtId="0" fontId="37" fillId="25" borderId="0" applyAlignment="1" pivotButton="0" quotePrefix="0" xfId="3">
      <alignment horizontal="center" vertical="center" wrapText="1"/>
    </xf>
    <xf numFmtId="0" fontId="37" fillId="25" borderId="3" applyAlignment="1" pivotButton="0" quotePrefix="0" xfId="3">
      <alignment horizontal="center" vertical="center" wrapText="1"/>
    </xf>
    <xf numFmtId="0" fontId="37" fillId="25" borderId="6" applyAlignment="1" pivotButton="0" quotePrefix="0" xfId="3">
      <alignment horizontal="center" vertical="center" wrapText="1"/>
    </xf>
    <xf numFmtId="0" fontId="37" fillId="25" borderId="7" applyAlignment="1" pivotButton="0" quotePrefix="0" xfId="3">
      <alignment horizontal="center" vertical="center" wrapText="1"/>
    </xf>
    <xf numFmtId="0" fontId="37" fillId="25" borderId="8" applyAlignment="1" pivotButton="0" quotePrefix="0" xfId="3">
      <alignment horizontal="center" vertical="center" wrapText="1"/>
    </xf>
    <xf numFmtId="0" fontId="38" fillId="0" borderId="4" pivotButton="0" quotePrefix="0" xfId="0"/>
    <xf numFmtId="0" fontId="39" fillId="0" borderId="1" pivotButton="0" quotePrefix="0" xfId="0"/>
    <xf numFmtId="0" fontId="38" fillId="0" borderId="1" pivotButton="0" quotePrefix="0" xfId="0"/>
    <xf numFmtId="0" fontId="38" fillId="0" borderId="2" pivotButton="0" quotePrefix="0" xfId="0"/>
    <xf numFmtId="0" fontId="38" fillId="0" borderId="9" applyAlignment="1" pivotButton="0" quotePrefix="0" xfId="0">
      <alignment horizontal="center" vertical="center"/>
    </xf>
    <xf numFmtId="0" fontId="38" fillId="0" borderId="5" pivotButton="0" quotePrefix="0" xfId="0"/>
    <xf numFmtId="0" fontId="38" fillId="0" borderId="0" pivotButton="0" quotePrefix="0" xfId="0"/>
    <xf numFmtId="0" fontId="38" fillId="0" borderId="3" pivotButton="0" quotePrefix="0" xfId="0"/>
    <xf numFmtId="0" fontId="38" fillId="0" borderId="9" applyAlignment="1" pivotButton="0" quotePrefix="0" xfId="0">
      <alignment horizontal="center"/>
    </xf>
    <xf numFmtId="0" fontId="38" fillId="0" borderId="9" applyAlignment="1" pivotButton="0" quotePrefix="0" xfId="0">
      <alignment horizontal="center" vertical="center"/>
    </xf>
    <xf numFmtId="0" fontId="38" fillId="0" borderId="9" pivotButton="0" quotePrefix="0" xfId="0"/>
    <xf numFmtId="0" fontId="40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center" vertical="center"/>
    </xf>
    <xf numFmtId="0" fontId="38" fillId="0" borderId="6" pivotButton="0" quotePrefix="0" xfId="0"/>
    <xf numFmtId="0" fontId="38" fillId="0" borderId="7" pivotButton="0" quotePrefix="0" xfId="0"/>
    <xf numFmtId="0" fontId="38" fillId="0" borderId="8" pivotButton="0" quotePrefix="0" xfId="0"/>
    <xf numFmtId="0" fontId="38" fillId="0" borderId="9" applyAlignment="1" pivotButton="0" quotePrefix="0" xfId="0">
      <alignment horizontal="center"/>
    </xf>
    <xf numFmtId="0" fontId="38" fillId="0" borderId="10" applyAlignment="1" pivotButton="0" quotePrefix="0" xfId="0">
      <alignment vertical="top" wrapText="1"/>
    </xf>
    <xf numFmtId="0" fontId="41" fillId="0" borderId="9" applyAlignment="1" pivotButton="0" quotePrefix="0" xfId="0">
      <alignment horizontal="center"/>
    </xf>
    <xf numFmtId="0" fontId="13" fillId="0" borderId="9" pivotButton="0" quotePrefix="0" xfId="0"/>
    <xf numFmtId="0" fontId="42" fillId="25" borderId="4" applyAlignment="1" pivotButton="0" quotePrefix="0" xfId="3">
      <alignment horizontal="center" vertical="center" wrapText="1"/>
    </xf>
    <xf numFmtId="0" fontId="42" fillId="25" borderId="1" applyAlignment="1" pivotButton="0" quotePrefix="0" xfId="3">
      <alignment horizontal="center" vertical="center" wrapText="1"/>
    </xf>
    <xf numFmtId="0" fontId="42" fillId="25" borderId="2" applyAlignment="1" pivotButton="0" quotePrefix="0" xfId="3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42" fillId="25" borderId="5" applyAlignment="1" pivotButton="0" quotePrefix="0" xfId="3">
      <alignment horizontal="center" vertical="center" wrapText="1"/>
    </xf>
    <xf numFmtId="0" fontId="42" fillId="25" borderId="0" applyAlignment="1" pivotButton="0" quotePrefix="0" xfId="3">
      <alignment horizontal="center" vertical="center" wrapText="1"/>
    </xf>
    <xf numFmtId="0" fontId="42" fillId="25" borderId="3" applyAlignment="1" pivotButton="0" quotePrefix="0" xfId="3">
      <alignment horizontal="center" vertical="center" wrapText="1"/>
    </xf>
    <xf numFmtId="0" fontId="42" fillId="25" borderId="6" applyAlignment="1" pivotButton="0" quotePrefix="0" xfId="3">
      <alignment horizontal="center" vertical="center" wrapText="1"/>
    </xf>
    <xf numFmtId="0" fontId="42" fillId="25" borderId="7" applyAlignment="1" pivotButton="0" quotePrefix="0" xfId="3">
      <alignment horizontal="center" vertical="center" wrapText="1"/>
    </xf>
    <xf numFmtId="0" fontId="42" fillId="25" borderId="8" applyAlignment="1" pivotButton="0" quotePrefix="0" xfId="3">
      <alignment horizontal="center" vertical="center" wrapText="1"/>
    </xf>
    <xf numFmtId="49" fontId="42" fillId="25" borderId="14" applyAlignment="1" pivotButton="0" quotePrefix="0" xfId="4">
      <alignment horizontal="center" vertical="center" wrapText="1"/>
    </xf>
    <xf numFmtId="49" fontId="42" fillId="25" borderId="15" applyAlignment="1" pivotButton="0" quotePrefix="0" xfId="4">
      <alignment horizontal="center" vertical="center" wrapText="1"/>
    </xf>
    <xf numFmtId="49" fontId="42" fillId="25" borderId="21" applyAlignment="1" pivotButton="0" quotePrefix="0" xfId="4">
      <alignment horizontal="center" vertical="center" wrapText="1"/>
    </xf>
    <xf numFmtId="49" fontId="42" fillId="25" borderId="17" applyAlignment="1" pivotButton="0" quotePrefix="0" xfId="4">
      <alignment horizontal="center" vertical="center" wrapText="1"/>
    </xf>
    <xf numFmtId="49" fontId="42" fillId="25" borderId="0" applyAlignment="1" pivotButton="0" quotePrefix="0" xfId="4">
      <alignment horizontal="center" vertical="center" wrapText="1"/>
    </xf>
    <xf numFmtId="49" fontId="42" fillId="25" borderId="12" applyAlignment="1" pivotButton="0" quotePrefix="0" xfId="4">
      <alignment horizontal="center" vertical="center" wrapText="1"/>
    </xf>
    <xf numFmtId="49" fontId="42" fillId="25" borderId="18" applyAlignment="1" pivotButton="0" quotePrefix="0" xfId="4">
      <alignment horizontal="center" vertical="center" wrapText="1"/>
    </xf>
    <xf numFmtId="49" fontId="42" fillId="25" borderId="19" applyAlignment="1" pivotButton="0" quotePrefix="0" xfId="4">
      <alignment horizontal="center" vertical="center" wrapText="1"/>
    </xf>
    <xf numFmtId="49" fontId="42" fillId="25" borderId="26" applyAlignment="1" pivotButton="0" quotePrefix="0" xfId="4">
      <alignment horizontal="center" vertical="center" wrapText="1"/>
    </xf>
    <xf numFmtId="0" fontId="13" fillId="0" borderId="4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13" fillId="0" borderId="5" pivotButton="0" quotePrefix="0" xfId="0"/>
    <xf numFmtId="0" fontId="13" fillId="0" borderId="0" pivotButton="0" quotePrefix="0" xfId="0"/>
    <xf numFmtId="0" fontId="13" fillId="0" borderId="3" pivotButton="0" quotePrefix="0" xfId="0"/>
    <xf numFmtId="0" fontId="13" fillId="0" borderId="6" pivotButton="0" quotePrefix="0" xfId="0"/>
    <xf numFmtId="0" fontId="13" fillId="0" borderId="7" pivotButton="0" quotePrefix="0" xfId="0"/>
    <xf numFmtId="0" fontId="13" fillId="0" borderId="8" pivotButton="0" quotePrefix="0" xfId="0"/>
    <xf numFmtId="0" fontId="13" fillId="0" borderId="4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2" pivotButton="0" quotePrefix="0" xfId="0"/>
    <xf numFmtId="0" fontId="2" fillId="0" borderId="9" pivotButton="0" quotePrefix="0" xfId="0"/>
    <xf numFmtId="0" fontId="2" fillId="0" borderId="5" pivotButton="0" quotePrefix="0" xfId="0"/>
    <xf numFmtId="0" fontId="2" fillId="0" borderId="3" pivotButton="0" quotePrefix="0" xfId="0"/>
    <xf numFmtId="0" fontId="2" fillId="0" borderId="6" pivotButton="0" quotePrefix="0" xfId="0"/>
    <xf numFmtId="0" fontId="2" fillId="0" borderId="8" pivotButton="0" quotePrefix="0" xfId="0"/>
    <xf numFmtId="0" fontId="8" fillId="25" borderId="4" applyAlignment="1" pivotButton="0" quotePrefix="0" xfId="3">
      <alignment horizontal="center" vertical="center" wrapText="1"/>
    </xf>
    <xf numFmtId="0" fontId="8" fillId="25" borderId="1" applyAlignment="1" pivotButton="0" quotePrefix="0" xfId="3">
      <alignment horizontal="center" vertical="center" wrapText="1"/>
    </xf>
    <xf numFmtId="0" fontId="8" fillId="25" borderId="5" applyAlignment="1" pivotButton="0" quotePrefix="0" xfId="3">
      <alignment horizontal="center" vertical="center" wrapText="1"/>
    </xf>
    <xf numFmtId="0" fontId="8" fillId="25" borderId="0" applyAlignment="1" pivotButton="0" quotePrefix="0" xfId="3">
      <alignment horizontal="center" vertical="center" wrapText="1"/>
    </xf>
    <xf numFmtId="0" fontId="8" fillId="25" borderId="6" applyAlignment="1" pivotButton="0" quotePrefix="0" xfId="3">
      <alignment horizontal="center" vertical="center" wrapText="1"/>
    </xf>
    <xf numFmtId="0" fontId="8" fillId="25" borderId="7" applyAlignment="1" pivotButton="0" quotePrefix="0" xfId="3">
      <alignment horizontal="center" vertical="center" wrapText="1"/>
    </xf>
    <xf numFmtId="0" fontId="9" fillId="25" borderId="12" applyAlignment="1" pivotButton="0" quotePrefix="0" xfId="3">
      <alignment horizontal="center" vertical="center" wrapText="1"/>
    </xf>
    <xf numFmtId="0" fontId="9" fillId="25" borderId="13" applyAlignment="1" pivotButton="0" quotePrefix="0" xfId="3">
      <alignment horizontal="center" vertical="center" wrapText="1"/>
    </xf>
    <xf numFmtId="0" fontId="5" fillId="25" borderId="9" applyAlignment="1" pivotButton="0" quotePrefix="0" xfId="1">
      <alignment horizontal="center" vertical="center" wrapText="1"/>
    </xf>
    <xf numFmtId="0" fontId="9" fillId="25" borderId="4" applyAlignment="1" pivotButton="0" quotePrefix="0" xfId="3">
      <alignment horizontal="center" vertical="center"/>
    </xf>
    <xf numFmtId="0" fontId="9" fillId="25" borderId="1" applyAlignment="1" pivotButton="0" quotePrefix="0" xfId="3">
      <alignment horizontal="center" vertical="center"/>
    </xf>
    <xf numFmtId="0" fontId="9" fillId="25" borderId="2" applyAlignment="1" pivotButton="0" quotePrefix="0" xfId="3">
      <alignment horizontal="center" vertical="center"/>
    </xf>
    <xf numFmtId="0" fontId="9" fillId="25" borderId="5" applyAlignment="1" pivotButton="0" quotePrefix="0" xfId="3">
      <alignment horizontal="center" vertical="center"/>
    </xf>
    <xf numFmtId="0" fontId="9" fillId="25" borderId="0" applyAlignment="1" pivotButton="0" quotePrefix="0" xfId="3">
      <alignment horizontal="center" vertical="center"/>
    </xf>
    <xf numFmtId="0" fontId="9" fillId="25" borderId="3" applyAlignment="1" pivotButton="0" quotePrefix="0" xfId="3">
      <alignment horizontal="center" vertical="center"/>
    </xf>
    <xf numFmtId="0" fontId="9" fillId="25" borderId="6" applyAlignment="1" pivotButton="0" quotePrefix="0" xfId="3">
      <alignment horizontal="center" vertical="center"/>
    </xf>
    <xf numFmtId="0" fontId="9" fillId="25" borderId="7" applyAlignment="1" pivotButton="0" quotePrefix="0" xfId="3">
      <alignment horizontal="center" vertical="center"/>
    </xf>
    <xf numFmtId="0" fontId="9" fillId="25" borderId="8" applyAlignment="1" pivotButton="0" quotePrefix="0" xfId="3">
      <alignment horizontal="center" vertical="center"/>
    </xf>
    <xf numFmtId="49" fontId="30" fillId="25" borderId="14" applyAlignment="1" pivotButton="0" quotePrefix="0" xfId="4">
      <alignment horizontal="center" vertical="center" wrapText="1"/>
    </xf>
    <xf numFmtId="49" fontId="31" fillId="25" borderId="15" applyAlignment="1" pivotButton="0" quotePrefix="0" xfId="4">
      <alignment horizontal="center" vertical="center" wrapText="1"/>
    </xf>
    <xf numFmtId="49" fontId="31" fillId="25" borderId="21" applyAlignment="1" pivotButton="0" quotePrefix="0" xfId="4">
      <alignment horizontal="center" vertical="center" wrapText="1"/>
    </xf>
    <xf numFmtId="49" fontId="31" fillId="25" borderId="17" applyAlignment="1" pivotButton="0" quotePrefix="0" xfId="4">
      <alignment horizontal="center" vertical="center" wrapText="1"/>
    </xf>
    <xf numFmtId="49" fontId="31" fillId="25" borderId="0" applyAlignment="1" pivotButton="0" quotePrefix="0" xfId="4">
      <alignment horizontal="center" vertical="center" wrapText="1"/>
    </xf>
    <xf numFmtId="49" fontId="31" fillId="25" borderId="12" applyAlignment="1" pivotButton="0" quotePrefix="0" xfId="4">
      <alignment horizontal="center" vertical="center" wrapText="1"/>
    </xf>
    <xf numFmtId="49" fontId="31" fillId="25" borderId="18" applyAlignment="1" pivotButton="0" quotePrefix="0" xfId="4">
      <alignment horizontal="center" vertical="center" wrapText="1"/>
    </xf>
    <xf numFmtId="49" fontId="31" fillId="25" borderId="19" applyAlignment="1" pivotButton="0" quotePrefix="0" xfId="4">
      <alignment horizontal="center" vertical="center" wrapText="1"/>
    </xf>
    <xf numFmtId="49" fontId="31" fillId="25" borderId="26" applyAlignment="1" pivotButton="0" quotePrefix="0" xfId="4">
      <alignment horizontal="center" vertical="center" wrapText="1"/>
    </xf>
    <xf numFmtId="0" fontId="10" fillId="25" borderId="4" applyAlignment="1" pivotButton="0" quotePrefix="0" xfId="3">
      <alignment horizontal="center" vertical="center"/>
    </xf>
    <xf numFmtId="0" fontId="10" fillId="25" borderId="1" applyAlignment="1" pivotButton="0" quotePrefix="0" xfId="3">
      <alignment horizontal="center" vertical="center"/>
    </xf>
    <xf numFmtId="0" fontId="10" fillId="25" borderId="0" applyAlignment="1" pivotButton="0" quotePrefix="0" xfId="3">
      <alignment horizontal="center" vertical="center"/>
    </xf>
    <xf numFmtId="0" fontId="10" fillId="25" borderId="3" applyAlignment="1" pivotButton="0" quotePrefix="0" xfId="3">
      <alignment horizontal="center" vertical="center"/>
    </xf>
    <xf numFmtId="0" fontId="10" fillId="25" borderId="5" applyAlignment="1" pivotButton="0" quotePrefix="0" xfId="3">
      <alignment horizontal="center" vertical="center"/>
    </xf>
    <xf numFmtId="0" fontId="10" fillId="25" borderId="6" applyAlignment="1" pivotButton="0" quotePrefix="0" xfId="3">
      <alignment horizontal="center" vertical="center"/>
    </xf>
    <xf numFmtId="0" fontId="10" fillId="25" borderId="7" applyAlignment="1" pivotButton="0" quotePrefix="0" xfId="3">
      <alignment horizontal="center" vertical="center"/>
    </xf>
    <xf numFmtId="0" fontId="10" fillId="25" borderId="8" applyAlignment="1" pivotButton="0" quotePrefix="0" xfId="3">
      <alignment horizontal="center" vertical="center"/>
    </xf>
    <xf numFmtId="0" fontId="2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9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0" pivotButton="0" quotePrefix="0" xfId="0"/>
    <xf numFmtId="0" fontId="2" fillId="0" borderId="3" pivotButton="0" quotePrefix="0" xfId="0"/>
    <xf numFmtId="0" fontId="2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vertical="top" wrapText="1"/>
    </xf>
    <xf numFmtId="0" fontId="4" fillId="0" borderId="9" applyAlignment="1" pivotButton="0" quotePrefix="0" xfId="0">
      <alignment horizontal="center"/>
    </xf>
    <xf numFmtId="0" fontId="9" fillId="0" borderId="4" applyAlignment="1" pivotButton="0" quotePrefix="0" xfId="3">
      <alignment horizontal="center" vertical="center" wrapText="1"/>
    </xf>
    <xf numFmtId="0" fontId="9" fillId="0" borderId="1" applyAlignment="1" pivotButton="0" quotePrefix="0" xfId="3">
      <alignment horizontal="center" vertical="center" wrapText="1"/>
    </xf>
    <xf numFmtId="0" fontId="9" fillId="0" borderId="2" applyAlignment="1" pivotButton="0" quotePrefix="0" xfId="3">
      <alignment horizontal="center" vertical="center" wrapText="1"/>
    </xf>
    <xf numFmtId="0" fontId="9" fillId="0" borderId="5" applyAlignment="1" pivotButton="0" quotePrefix="0" xfId="3">
      <alignment horizontal="center" vertical="center" wrapText="1"/>
    </xf>
    <xf numFmtId="0" fontId="9" fillId="0" borderId="0" applyAlignment="1" pivotButton="0" quotePrefix="0" xfId="3">
      <alignment horizontal="center" vertical="center" wrapText="1"/>
    </xf>
    <xf numFmtId="0" fontId="9" fillId="0" borderId="3" applyAlignment="1" pivotButton="0" quotePrefix="0" xfId="3">
      <alignment horizontal="center" vertical="center" wrapText="1"/>
    </xf>
    <xf numFmtId="0" fontId="9" fillId="0" borderId="6" applyAlignment="1" pivotButton="0" quotePrefix="0" xfId="3">
      <alignment horizontal="center" vertical="center" wrapText="1"/>
    </xf>
    <xf numFmtId="0" fontId="9" fillId="0" borderId="7" applyAlignment="1" pivotButton="0" quotePrefix="0" xfId="3">
      <alignment horizontal="center" vertical="center" wrapText="1"/>
    </xf>
    <xf numFmtId="0" fontId="9" fillId="0" borderId="8" applyAlignment="1" pivotButton="0" quotePrefix="0" xfId="3">
      <alignment horizontal="center" vertical="center" wrapText="1"/>
    </xf>
    <xf numFmtId="49" fontId="31" fillId="0" borderId="14" applyAlignment="1" pivotButton="0" quotePrefix="0" xfId="4">
      <alignment horizontal="center" vertical="center" wrapText="1"/>
    </xf>
    <xf numFmtId="49" fontId="31" fillId="0" borderId="15" applyAlignment="1" pivotButton="0" quotePrefix="0" xfId="4">
      <alignment horizontal="center" vertical="center" wrapText="1"/>
    </xf>
    <xf numFmtId="49" fontId="31" fillId="0" borderId="21" applyAlignment="1" pivotButton="0" quotePrefix="0" xfId="4">
      <alignment horizontal="center" vertical="center" wrapText="1"/>
    </xf>
    <xf numFmtId="49" fontId="30" fillId="0" borderId="14" applyAlignment="1" pivotButton="0" quotePrefix="0" xfId="4">
      <alignment horizontal="center" vertical="center" wrapText="1"/>
    </xf>
    <xf numFmtId="49" fontId="31" fillId="0" borderId="17" applyAlignment="1" pivotButton="0" quotePrefix="0" xfId="4">
      <alignment horizontal="center" vertical="center" wrapText="1"/>
    </xf>
    <xf numFmtId="49" fontId="31" fillId="0" borderId="0" applyAlignment="1" pivotButton="0" quotePrefix="0" xfId="4">
      <alignment horizontal="center" vertical="center" wrapText="1"/>
    </xf>
    <xf numFmtId="49" fontId="31" fillId="0" borderId="12" applyAlignment="1" pivotButton="0" quotePrefix="0" xfId="4">
      <alignment horizontal="center" vertical="center" wrapText="1"/>
    </xf>
    <xf numFmtId="49" fontId="31" fillId="0" borderId="18" applyAlignment="1" pivotButton="0" quotePrefix="0" xfId="4">
      <alignment horizontal="center" vertical="center" wrapText="1"/>
    </xf>
    <xf numFmtId="49" fontId="31" fillId="0" borderId="19" applyAlignment="1" pivotButton="0" quotePrefix="0" xfId="4">
      <alignment horizontal="center" vertical="center" wrapText="1"/>
    </xf>
    <xf numFmtId="49" fontId="31" fillId="0" borderId="26" applyAlignment="1" pivotButton="0" quotePrefix="0" xfId="4">
      <alignment horizontal="center" vertical="center" wrapText="1"/>
    </xf>
    <xf numFmtId="0" fontId="8" fillId="0" borderId="4" applyAlignment="1" pivotButton="0" quotePrefix="0" xfId="3">
      <alignment horizontal="center" vertical="center" wrapText="1"/>
    </xf>
    <xf numFmtId="0" fontId="8" fillId="0" borderId="1" applyAlignment="1" pivotButton="0" quotePrefix="0" xfId="3">
      <alignment horizontal="center" vertical="center" wrapText="1"/>
    </xf>
    <xf numFmtId="0" fontId="8" fillId="0" borderId="2" applyAlignment="1" pivotButton="0" quotePrefix="0" xfId="3">
      <alignment horizontal="center" vertical="center" wrapText="1"/>
    </xf>
    <xf numFmtId="0" fontId="8" fillId="0" borderId="5" applyAlignment="1" pivotButton="0" quotePrefix="0" xfId="3">
      <alignment horizontal="center" vertical="center" wrapText="1"/>
    </xf>
    <xf numFmtId="0" fontId="8" fillId="0" borderId="0" applyAlignment="1" pivotButton="0" quotePrefix="0" xfId="3">
      <alignment horizontal="center" vertical="center" wrapText="1"/>
    </xf>
    <xf numFmtId="0" fontId="8" fillId="0" borderId="3" applyAlignment="1" pivotButton="0" quotePrefix="0" xfId="3">
      <alignment horizontal="center" vertical="center" wrapText="1"/>
    </xf>
    <xf numFmtId="0" fontId="8" fillId="0" borderId="6" applyAlignment="1" pivotButton="0" quotePrefix="0" xfId="3">
      <alignment horizontal="center" vertical="center" wrapText="1"/>
    </xf>
    <xf numFmtId="0" fontId="8" fillId="0" borderId="7" applyAlignment="1" pivotButton="0" quotePrefix="0" xfId="3">
      <alignment horizontal="center" vertical="center" wrapText="1"/>
    </xf>
    <xf numFmtId="0" fontId="8" fillId="0" borderId="8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0" borderId="4" applyAlignment="1" pivotButton="0" quotePrefix="0" xfId="3">
      <alignment horizontal="center" vertical="center"/>
    </xf>
    <xf numFmtId="0" fontId="10" fillId="0" borderId="1" applyAlignment="1" pivotButton="0" quotePrefix="0" xfId="3">
      <alignment horizontal="center" vertical="center"/>
    </xf>
    <xf numFmtId="0" fontId="10" fillId="0" borderId="2" applyAlignment="1" pivotButton="0" quotePrefix="0" xfId="3">
      <alignment horizontal="center" vertical="center"/>
    </xf>
    <xf numFmtId="0" fontId="10" fillId="0" borderId="5" applyAlignment="1" pivotButton="0" quotePrefix="0" xfId="3">
      <alignment horizontal="center" vertical="center"/>
    </xf>
    <xf numFmtId="0" fontId="10" fillId="0" borderId="0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10" fillId="0" borderId="6" applyAlignment="1" pivotButton="0" quotePrefix="0" xfId="3">
      <alignment horizontal="center" vertical="center"/>
    </xf>
    <xf numFmtId="0" fontId="10" fillId="0" borderId="7" applyAlignment="1" pivotButton="0" quotePrefix="0" xfId="3">
      <alignment horizontal="center" vertical="center"/>
    </xf>
    <xf numFmtId="0" fontId="10" fillId="0" borderId="8" applyAlignment="1" pivotButton="0" quotePrefix="0" xfId="3">
      <alignment horizontal="center" vertical="center"/>
    </xf>
    <xf numFmtId="0" fontId="8" fillId="0" borderId="4" applyAlignment="1" pivotButton="0" quotePrefix="0" xfId="3">
      <alignment horizontal="center" vertical="center"/>
    </xf>
    <xf numFmtId="0" fontId="8" fillId="0" borderId="1" applyAlignment="1" pivotButton="0" quotePrefix="0" xfId="3">
      <alignment horizontal="center" vertical="center"/>
    </xf>
    <xf numFmtId="0" fontId="8" fillId="0" borderId="2" applyAlignment="1" pivotButton="0" quotePrefix="0" xfId="3">
      <alignment horizontal="center" vertical="center"/>
    </xf>
    <xf numFmtId="0" fontId="8" fillId="0" borderId="5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 vertical="center"/>
    </xf>
    <xf numFmtId="0" fontId="8" fillId="0" borderId="3" applyAlignment="1" pivotButton="0" quotePrefix="0" xfId="3">
      <alignment horizontal="center" vertical="center"/>
    </xf>
    <xf numFmtId="0" fontId="8" fillId="0" borderId="6" applyAlignment="1" pivotButton="0" quotePrefix="0" xfId="3">
      <alignment horizontal="center" vertical="center"/>
    </xf>
    <xf numFmtId="0" fontId="8" fillId="0" borderId="7" applyAlignment="1" pivotButton="0" quotePrefix="0" xfId="3">
      <alignment horizontal="center" vertical="center"/>
    </xf>
    <xf numFmtId="0" fontId="8" fillId="0" borderId="8" applyAlignment="1" pivotButton="0" quotePrefix="0" xfId="3">
      <alignment horizontal="center" vertical="center"/>
    </xf>
    <xf numFmtId="0" fontId="48" fillId="0" borderId="0" pivotButton="0" quotePrefix="0" xfId="0"/>
    <xf numFmtId="0" fontId="46" fillId="0" borderId="50" pivotButton="0" quotePrefix="0" xfId="0"/>
    <xf numFmtId="0" fontId="47" fillId="0" borderId="5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3" fillId="26" borderId="50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3" pivotButton="0" quotePrefix="0" xfId="0"/>
    <xf numFmtId="0" fontId="0" fillId="0" borderId="5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52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2" fillId="0" borderId="50" applyAlignment="1" pivotButton="0" quotePrefix="0" xfId="0">
      <alignment vertical="center"/>
    </xf>
    <xf numFmtId="0" fontId="19" fillId="0" borderId="9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wrapText="1"/>
    </xf>
    <xf numFmtId="0" fontId="2" fillId="0" borderId="50" applyAlignment="1" pivotButton="0" quotePrefix="0" xfId="0">
      <alignment horizontal="center" vertical="center" wrapText="1"/>
    </xf>
    <xf numFmtId="0" fontId="42" fillId="25" borderId="9" applyAlignment="1" pivotButton="0" quotePrefix="0" xfId="3">
      <alignment horizontal="center" vertical="center" wrapText="1"/>
    </xf>
    <xf numFmtId="49" fontId="42" fillId="25" borderId="35" applyAlignment="1" pivotButton="0" quotePrefix="0" xfId="4">
      <alignment horizontal="center" vertical="center" wrapText="1"/>
    </xf>
    <xf numFmtId="0" fontId="0" fillId="0" borderId="15" pivotButton="0" quotePrefix="0" xfId="0"/>
    <xf numFmtId="0" fontId="0" fillId="0" borderId="21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6" pivotButton="0" quotePrefix="0" xfId="0"/>
    <xf numFmtId="0" fontId="26" fillId="6" borderId="9" applyAlignment="1" pivotButton="0" quotePrefix="0" xfId="3">
      <alignment horizontal="center" vertical="center" wrapText="1"/>
    </xf>
    <xf numFmtId="49" fontId="28" fillId="19" borderId="35" applyAlignment="1" pivotButton="0" quotePrefix="0" xfId="4">
      <alignment horizontal="center" vertical="center" wrapText="1"/>
    </xf>
    <xf numFmtId="0" fontId="8" fillId="25" borderId="30" applyAlignment="1" pivotButton="0" quotePrefix="0" xfId="3">
      <alignment horizontal="center" vertical="center" wrapText="1"/>
    </xf>
    <xf numFmtId="0" fontId="37" fillId="25" borderId="9" applyAlignment="1" pivotButton="0" quotePrefix="0" xfId="3">
      <alignment horizontal="center" vertical="center" wrapText="1"/>
    </xf>
    <xf numFmtId="0" fontId="0" fillId="0" borderId="13" pivotButton="0" quotePrefix="0" xfId="0"/>
    <xf numFmtId="0" fontId="9" fillId="21" borderId="9" applyAlignment="1" pivotButton="0" quotePrefix="0" xfId="3">
      <alignment horizontal="center" vertical="center" wrapText="1"/>
    </xf>
    <xf numFmtId="0" fontId="26" fillId="21" borderId="9" applyAlignment="1" pivotButton="0" quotePrefix="0" xfId="3">
      <alignment horizontal="center" vertical="center" wrapText="1"/>
    </xf>
    <xf numFmtId="49" fontId="32" fillId="11" borderId="35" applyAlignment="1" pivotButton="0" quotePrefix="0" xfId="4">
      <alignment horizontal="center" vertical="center" wrapText="1"/>
    </xf>
    <xf numFmtId="0" fontId="2" fillId="0" borderId="50" applyAlignment="1" pivotButton="0" quotePrefix="0" xfId="0">
      <alignment horizontal="center" wrapText="1"/>
    </xf>
    <xf numFmtId="0" fontId="19" fillId="9" borderId="9" applyAlignment="1" pivotButton="0" quotePrefix="0" xfId="0">
      <alignment horizontal="center" vertical="center"/>
    </xf>
    <xf numFmtId="0" fontId="44" fillId="27" borderId="50" applyAlignment="1" pivotButton="0" quotePrefix="0" xfId="0">
      <alignment horizontal="center" vertical="center" wrapText="1"/>
    </xf>
    <xf numFmtId="0" fontId="19" fillId="9" borderId="9" applyAlignment="1" pivotButton="0" quotePrefix="0" xfId="0">
      <alignment horizontal="center" vertical="center" wrapText="1"/>
    </xf>
    <xf numFmtId="0" fontId="36" fillId="9" borderId="9" applyAlignment="1" pivotButton="0" quotePrefix="0" xfId="0">
      <alignment horizontal="center" vertical="center" wrapText="1"/>
    </xf>
    <xf numFmtId="49" fontId="30" fillId="25" borderId="35" applyAlignment="1" pivotButton="0" quotePrefix="0" xfId="4">
      <alignment horizontal="center" vertical="center" wrapText="1"/>
    </xf>
    <xf numFmtId="0" fontId="9" fillId="25" borderId="9" applyAlignment="1" pivotButton="0" quotePrefix="0" xfId="3">
      <alignment horizontal="center" vertical="center" wrapText="1"/>
    </xf>
    <xf numFmtId="0" fontId="9" fillId="25" borderId="9" applyAlignment="1" pivotButton="0" quotePrefix="0" xfId="3">
      <alignment horizontal="center" vertical="center"/>
    </xf>
    <xf numFmtId="0" fontId="10" fillId="25" borderId="9" applyAlignment="1" pivotButton="0" quotePrefix="0" xfId="3">
      <alignment horizontal="center" vertical="center"/>
    </xf>
    <xf numFmtId="49" fontId="30" fillId="11" borderId="35" applyAlignment="1" pivotButton="0" quotePrefix="0" xfId="4">
      <alignment horizontal="center" vertical="center" wrapText="1"/>
    </xf>
    <xf numFmtId="0" fontId="10" fillId="6" borderId="9" applyAlignment="1" pivotButton="0" quotePrefix="0" xfId="3">
      <alignment horizontal="center" vertical="center"/>
    </xf>
    <xf numFmtId="0" fontId="9" fillId="8" borderId="9" applyAlignment="1" pivotButton="0" quotePrefix="0" xfId="3">
      <alignment horizontal="center" vertical="center" wrapText="1"/>
    </xf>
    <xf numFmtId="0" fontId="8" fillId="0" borderId="9" applyAlignment="1" pivotButton="0" quotePrefix="0" xfId="3">
      <alignment horizontal="center" vertical="center" wrapText="1"/>
    </xf>
    <xf numFmtId="0" fontId="9" fillId="0" borderId="9" applyAlignment="1" pivotButton="0" quotePrefix="0" xfId="3">
      <alignment horizontal="center" vertical="center" wrapText="1"/>
    </xf>
    <xf numFmtId="0" fontId="8" fillId="0" borderId="30" applyAlignment="1" pivotButton="0" quotePrefix="0" xfId="3">
      <alignment horizontal="center" vertical="center" wrapText="1"/>
    </xf>
    <xf numFmtId="0" fontId="8" fillId="0" borderId="35" applyAlignment="1" pivotButton="0" quotePrefix="0" xfId="3">
      <alignment horizontal="center" wrapText="1"/>
    </xf>
    <xf numFmtId="0" fontId="10" fillId="0" borderId="35" applyAlignment="1" pivotButton="0" quotePrefix="0" xfId="3">
      <alignment horizontal="center" vertical="center" wrapText="1"/>
    </xf>
    <xf numFmtId="0" fontId="0" fillId="0" borderId="38" pivotButton="0" quotePrefix="0" xfId="0"/>
    <xf numFmtId="0" fontId="0" fillId="0" borderId="1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49" fontId="31" fillId="0" borderId="35" applyAlignment="1" pivotButton="0" quotePrefix="0" xfId="4">
      <alignment horizontal="center" vertical="center" wrapText="1"/>
    </xf>
    <xf numFmtId="49" fontId="30" fillId="0" borderId="35" applyAlignment="1" pivotButton="0" quotePrefix="0" xfId="4">
      <alignment horizontal="center" vertical="center" wrapText="1"/>
    </xf>
    <xf numFmtId="0" fontId="10" fillId="0" borderId="9" applyAlignment="1" pivotButton="0" quotePrefix="0" xfId="3">
      <alignment horizontal="center" vertical="center"/>
    </xf>
    <xf numFmtId="0" fontId="8" fillId="0" borderId="9" applyAlignment="1" pivotButton="0" quotePrefix="0" xfId="3">
      <alignment horizontal="center" vertical="center"/>
    </xf>
    <xf numFmtId="0" fontId="2" fillId="0" borderId="9" applyAlignment="1" pivotButton="0" quotePrefix="0" xfId="3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8" fillId="0" borderId="50" applyAlignment="1" pivotButton="0" quotePrefix="0" xfId="3">
      <alignment horizontal="center" vertical="center" wrapText="1"/>
    </xf>
    <xf numFmtId="0" fontId="9" fillId="0" borderId="50" applyAlignment="1" pivotButton="0" quotePrefix="0" xfId="3">
      <alignment horizontal="center" vertical="center" wrapText="1"/>
    </xf>
    <xf numFmtId="0" fontId="44" fillId="27" borderId="50" applyAlignment="1" pivotButton="0" quotePrefix="0" xfId="3">
      <alignment horizontal="center" vertical="center" wrapText="1"/>
    </xf>
    <xf numFmtId="0" fontId="43" fillId="26" borderId="50" applyAlignment="1" pivotButton="0" quotePrefix="0" xfId="3">
      <alignment horizontal="center" vertical="center" wrapText="1"/>
    </xf>
    <xf numFmtId="0" fontId="31" fillId="24" borderId="9" applyAlignment="1" pivotButton="0" quotePrefix="0" xfId="0">
      <alignment horizontal="center" vertical="center"/>
    </xf>
    <xf numFmtId="0" fontId="31" fillId="24" borderId="28" applyAlignment="1" pivotButton="0" quotePrefix="0" xfId="0">
      <alignment horizontal="center" vertical="center" wrapText="1"/>
    </xf>
    <xf numFmtId="0" fontId="31" fillId="15" borderId="9" applyAlignment="1" pivotButton="0" quotePrefix="0" xfId="0">
      <alignment horizontal="center" vertical="center" wrapText="1"/>
    </xf>
    <xf numFmtId="0" fontId="31" fillId="15" borderId="29" applyAlignment="1" pivotButton="0" quotePrefix="0" xfId="0">
      <alignment horizontal="center" vertical="center" wrapText="1"/>
    </xf>
    <xf numFmtId="0" fontId="31" fillId="15" borderId="9" applyAlignment="1" pivotButton="0" quotePrefix="0" xfId="0">
      <alignment horizontal="center" vertical="center"/>
    </xf>
    <xf numFmtId="0" fontId="31" fillId="24" borderId="35" applyAlignment="1" pivotButton="0" quotePrefix="0" xfId="0">
      <alignment horizontal="center" vertical="center"/>
    </xf>
    <xf numFmtId="0" fontId="31" fillId="15" borderId="27" applyAlignment="1" pivotButton="0" quotePrefix="0" xfId="0">
      <alignment horizontal="center" vertical="center" wrapText="1"/>
    </xf>
    <xf numFmtId="0" fontId="17" fillId="0" borderId="32" pivotButton="0" quotePrefix="0" xfId="0"/>
    <xf numFmtId="0" fontId="31" fillId="15" borderId="28" applyAlignment="1" pivotButton="0" quotePrefix="0" xfId="0">
      <alignment horizontal="center" vertical="center" wrapText="1"/>
    </xf>
    <xf numFmtId="0" fontId="31" fillId="15" borderId="30" applyAlignment="1" pivotButton="0" quotePrefix="0" xfId="0">
      <alignment horizontal="center" vertical="center" wrapText="1"/>
    </xf>
    <xf numFmtId="0" fontId="31" fillId="15" borderId="35" applyAlignment="1" pivotButton="0" quotePrefix="0" xfId="0">
      <alignment horizontal="center" vertical="center" wrapText="1"/>
    </xf>
    <xf numFmtId="0" fontId="2" fillId="23" borderId="42" applyAlignment="1" pivotButton="0" quotePrefix="0" xfId="3">
      <alignment horizontal="center" vertical="center" wrapText="1"/>
    </xf>
    <xf numFmtId="0" fontId="0" fillId="0" borderId="43" pivotButton="0" quotePrefix="0" xfId="0"/>
    <xf numFmtId="0" fontId="8" fillId="23" borderId="44" applyAlignment="1" pivotButton="0" quotePrefix="0" xfId="3">
      <alignment horizontal="center" vertical="center" wrapText="1"/>
    </xf>
    <xf numFmtId="0" fontId="0" fillId="0" borderId="45" pivotButton="0" quotePrefix="0" xfId="0"/>
    <xf numFmtId="0" fontId="2" fillId="23" borderId="9" applyAlignment="1" pivotButton="0" quotePrefix="0" xfId="3">
      <alignment horizontal="center" vertical="center" wrapText="1"/>
    </xf>
    <xf numFmtId="0" fontId="2" fillId="22" borderId="9" applyAlignment="1" pivotButton="0" quotePrefix="0" xfId="3">
      <alignment horizontal="center" vertical="center" wrapText="1"/>
    </xf>
    <xf numFmtId="0" fontId="2" fillId="22" borderId="30" applyAlignment="1" pivotButton="0" quotePrefix="0" xfId="3">
      <alignment horizontal="center" vertical="center" wrapText="1"/>
    </xf>
    <xf numFmtId="0" fontId="2" fillId="22" borderId="29" applyAlignment="1" pivotButton="0" quotePrefix="0" xfId="3">
      <alignment horizontal="center" vertical="center" wrapText="1"/>
    </xf>
    <xf numFmtId="0" fontId="5" fillId="22" borderId="9" applyAlignment="1" pivotButton="0" quotePrefix="0" xfId="3">
      <alignment horizontal="center" vertical="center" wrapText="1"/>
    </xf>
    <xf numFmtId="0" fontId="8" fillId="19" borderId="9" applyAlignment="1" pivotButton="0" quotePrefix="0" xfId="3">
      <alignment horizontal="center" vertical="center" wrapText="1"/>
    </xf>
    <xf numFmtId="0" fontId="9" fillId="19" borderId="9" applyAlignment="1" pivotButton="0" quotePrefix="0" xfId="3">
      <alignment horizontal="center" vertical="center" wrapText="1"/>
    </xf>
    <xf numFmtId="0" fontId="2" fillId="21" borderId="9" applyAlignment="1" pivotButton="0" quotePrefix="0" xfId="3">
      <alignment horizontal="center" vertical="center"/>
    </xf>
    <xf numFmtId="0" fontId="17" fillId="16" borderId="9" applyAlignment="1" pivotButton="0" quotePrefix="0" xfId="0">
      <alignment horizontal="center" vertical="center" wrapText="1"/>
    </xf>
    <xf numFmtId="0" fontId="20" fillId="16" borderId="34" applyAlignment="1" pivotButton="0" quotePrefix="0" xfId="0">
      <alignment horizontal="center" vertical="center" wrapText="1"/>
    </xf>
    <xf numFmtId="0" fontId="19" fillId="16" borderId="28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0" pivotButton="0" quotePrefix="0" xfId="0"/>
    <xf numFmtId="0" fontId="21" fillId="6" borderId="9" applyAlignment="1" pivotButton="0" quotePrefix="0" xfId="0">
      <alignment horizontal="center" vertical="center" wrapText="1"/>
    </xf>
    <xf numFmtId="0" fontId="18" fillId="18" borderId="9" applyAlignment="1" pivotButton="0" quotePrefix="0" xfId="0">
      <alignment horizontal="center" wrapText="1"/>
    </xf>
    <xf numFmtId="0" fontId="17" fillId="6" borderId="29" applyAlignment="1" pivotButton="0" quotePrefix="0" xfId="0">
      <alignment horizontal="center" vertical="center" wrapText="1"/>
    </xf>
    <xf numFmtId="0" fontId="21" fillId="6" borderId="34" applyAlignment="1" pivotButton="0" quotePrefix="0" xfId="0">
      <alignment horizontal="center" vertical="center" wrapText="1"/>
    </xf>
    <xf numFmtId="0" fontId="18" fillId="18" borderId="9" applyAlignment="1" pivotButton="0" quotePrefix="0" xfId="0">
      <alignment horizontal="center" vertical="center" wrapText="1"/>
    </xf>
    <xf numFmtId="0" fontId="17" fillId="18" borderId="9" applyAlignment="1" pivotButton="0" quotePrefix="0" xfId="0">
      <alignment horizontal="center" vertical="center" wrapText="1"/>
    </xf>
    <xf numFmtId="0" fontId="20" fillId="18" borderId="34" applyAlignment="1" pivotButton="0" quotePrefix="0" xfId="0">
      <alignment horizontal="center" vertical="center" wrapText="1"/>
    </xf>
    <xf numFmtId="0" fontId="19" fillId="18" borderId="28" applyAlignment="1" pivotButton="0" quotePrefix="0" xfId="0">
      <alignment horizontal="center" vertical="center" wrapText="1"/>
    </xf>
    <xf numFmtId="0" fontId="19" fillId="18" borderId="9" applyAlignment="1" pivotButton="0" quotePrefix="0" xfId="0">
      <alignment horizontal="center" vertical="center" wrapText="1"/>
    </xf>
    <xf numFmtId="0" fontId="21" fillId="18" borderId="9" applyAlignment="1" pivotButton="0" quotePrefix="0" xfId="0">
      <alignment horizontal="center" vertical="center" wrapText="1"/>
    </xf>
    <xf numFmtId="0" fontId="19" fillId="6" borderId="9" applyAlignment="1" pivotButton="0" quotePrefix="0" xfId="0">
      <alignment horizontal="center" vertical="center" wrapText="1"/>
    </xf>
    <xf numFmtId="0" fontId="17" fillId="16" borderId="28" applyAlignment="1" pivotButton="0" quotePrefix="0" xfId="0">
      <alignment horizontal="center" vertical="center" wrapText="1"/>
    </xf>
    <xf numFmtId="0" fontId="19" fillId="17" borderId="29" applyAlignment="1" pivotButton="0" quotePrefix="0" xfId="0">
      <alignment horizontal="center" vertical="center"/>
    </xf>
    <xf numFmtId="0" fontId="17" fillId="6" borderId="9" applyAlignment="1" pivotButton="0" quotePrefix="0" xfId="0">
      <alignment horizontal="center" wrapText="1"/>
    </xf>
    <xf numFmtId="0" fontId="2" fillId="13" borderId="9" applyAlignment="1" pivotButton="0" quotePrefix="0" xfId="0">
      <alignment horizontal="center" vertical="center"/>
    </xf>
    <xf numFmtId="0" fontId="13" fillId="13" borderId="9" applyAlignment="1" pivotButton="0" quotePrefix="0" xfId="0">
      <alignment horizontal="center" vertical="center" wrapText="1"/>
    </xf>
    <xf numFmtId="0" fontId="13" fillId="13" borderId="9" applyAlignment="1" pivotButton="0" quotePrefix="0" xfId="0">
      <alignment horizontal="center" vertical="center"/>
    </xf>
    <xf numFmtId="0" fontId="2" fillId="9" borderId="9" applyAlignment="1" pivotButton="0" quotePrefix="0" xfId="3">
      <alignment horizontal="center" vertical="center"/>
    </xf>
    <xf numFmtId="0" fontId="2" fillId="13" borderId="27" applyAlignment="1" pivotButton="0" quotePrefix="0" xfId="0">
      <alignment horizontal="center" vertical="center"/>
    </xf>
    <xf numFmtId="0" fontId="0" fillId="0" borderId="32" pivotButton="0" quotePrefix="0" xfId="0"/>
    <xf numFmtId="0" fontId="2" fillId="13" borderId="9" applyAlignment="1" pivotButton="0" quotePrefix="0" xfId="0">
      <alignment horizontal="center" vertical="center" wrapText="1"/>
    </xf>
    <xf numFmtId="0" fontId="2" fillId="9" borderId="29" applyAlignment="1" pivotButton="0" quotePrefix="0" xfId="2">
      <alignment horizontal="center" vertical="center"/>
    </xf>
    <xf numFmtId="0" fontId="10" fillId="9" borderId="9" applyAlignment="1" pivotButton="0" quotePrefix="0" xfId="2">
      <alignment horizontal="center" vertical="center"/>
    </xf>
    <xf numFmtId="0" fontId="2" fillId="9" borderId="9" applyAlignment="1" pivotButton="0" quotePrefix="0" xfId="2">
      <alignment horizontal="center" vertical="center"/>
    </xf>
    <xf numFmtId="49" fontId="12" fillId="9" borderId="46" applyAlignment="1" pivotButton="0" quotePrefix="0" xfId="4">
      <alignment horizontal="center" vertical="center"/>
    </xf>
    <xf numFmtId="0" fontId="0" fillId="0" borderId="22" pivotButton="0" quotePrefix="0" xfId="0"/>
    <xf numFmtId="0" fontId="2" fillId="0" borderId="9" applyAlignment="1" pivotButton="0" quotePrefix="0" xfId="3">
      <alignment horizontal="center" vertical="center"/>
    </xf>
    <xf numFmtId="0" fontId="5" fillId="0" borderId="9" applyAlignment="1" pivotButton="0" quotePrefix="0" xfId="3">
      <alignment horizontal="center" vertical="center"/>
    </xf>
    <xf numFmtId="0" fontId="2" fillId="15" borderId="9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/>
    </xf>
    <xf numFmtId="0" fontId="13" fillId="13" borderId="47" applyAlignment="1" pivotButton="0" quotePrefix="0" xfId="0">
      <alignment horizontal="center" vertical="center"/>
    </xf>
    <xf numFmtId="0" fontId="0" fillId="0" borderId="16" pivotButton="0" quotePrefix="0" xfId="0"/>
    <xf numFmtId="0" fontId="2" fillId="13" borderId="29" applyAlignment="1" pivotButton="0" quotePrefix="0" xfId="0">
      <alignment horizontal="center" vertical="center"/>
    </xf>
    <xf numFmtId="0" fontId="8" fillId="0" borderId="44" applyAlignment="1" pivotButton="0" quotePrefix="0" xfId="3">
      <alignment horizontal="center" vertical="center"/>
    </xf>
    <xf numFmtId="0" fontId="5" fillId="0" borderId="48" applyAlignment="1" pivotButton="0" quotePrefix="0" xfId="0">
      <alignment horizontal="center" vertical="center" wrapText="1"/>
    </xf>
    <xf numFmtId="0" fontId="5" fillId="0" borderId="49" applyAlignment="1" pivotButton="0" quotePrefix="0" xfId="0">
      <alignment horizontal="center" vertical="center" wrapText="1"/>
    </xf>
    <xf numFmtId="0" fontId="14" fillId="13" borderId="9" applyAlignment="1" pivotButton="0" quotePrefix="0" xfId="0">
      <alignment horizontal="center" vertical="center"/>
    </xf>
    <xf numFmtId="0" fontId="5" fillId="11" borderId="9" applyAlignment="1" pivotButton="0" quotePrefix="0" xfId="3">
      <alignment horizontal="center" vertical="center"/>
    </xf>
    <xf numFmtId="0" fontId="2" fillId="11" borderId="9" applyAlignment="1" pivotButton="0" quotePrefix="0" xfId="3">
      <alignment horizontal="center" vertical="center"/>
    </xf>
    <xf numFmtId="0" fontId="15" fillId="12" borderId="9" applyAlignment="1" pivotButton="0" quotePrefix="0" xfId="3">
      <alignment horizontal="center" vertical="center"/>
    </xf>
    <xf numFmtId="0" fontId="14" fillId="10" borderId="9" applyAlignment="1" pivotButton="0" quotePrefix="0" xfId="0">
      <alignment horizontal="center" vertical="center"/>
    </xf>
    <xf numFmtId="0" fontId="8" fillId="9" borderId="44" applyAlignment="1" pivotButton="0" quotePrefix="0" xfId="3">
      <alignment horizontal="center" vertical="center"/>
    </xf>
    <xf numFmtId="0" fontId="8" fillId="12" borderId="9" applyAlignment="1" pivotButton="0" quotePrefix="0" xfId="3">
      <alignment horizontal="center" vertical="center"/>
    </xf>
    <xf numFmtId="0" fontId="16" fillId="0" borderId="48" applyAlignment="1" pivotButton="0" quotePrefix="0" xfId="0">
      <alignment horizontal="center" vertical="center" wrapText="1"/>
    </xf>
    <xf numFmtId="0" fontId="5" fillId="3" borderId="48" applyAlignment="1" pivotButton="0" quotePrefix="0" xfId="0">
      <alignment horizontal="center" vertical="center" wrapText="1"/>
    </xf>
    <xf numFmtId="0" fontId="7" fillId="3" borderId="29" applyAlignment="1" pivotButton="0" quotePrefix="0" xfId="2">
      <alignment horizontal="center" vertical="center"/>
    </xf>
    <xf numFmtId="0" fontId="7" fillId="3" borderId="9" applyAlignment="1" pivotButton="0" quotePrefix="0" xfId="2">
      <alignment horizontal="center" vertical="center"/>
    </xf>
    <xf numFmtId="0" fontId="2" fillId="3" borderId="42" applyAlignment="1" pivotButton="0" quotePrefix="0" xfId="3">
      <alignment horizontal="center" vertical="center"/>
    </xf>
    <xf numFmtId="0" fontId="9" fillId="3" borderId="9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2" fillId="3" borderId="9" applyAlignment="1" pivotButton="0" quotePrefix="0" xfId="3">
      <alignment horizontal="center" vertical="center"/>
    </xf>
    <xf numFmtId="0" fontId="2" fillId="3" borderId="9" applyAlignment="1" pivotButton="0" quotePrefix="0" xfId="3">
      <alignment horizontal="center" vertical="center" wrapText="1"/>
    </xf>
    <xf numFmtId="0" fontId="7" fillId="4" borderId="48" applyAlignment="1" pivotButton="0" quotePrefix="0" xfId="0">
      <alignment horizontal="center" vertical="center" wrapText="1"/>
    </xf>
    <xf numFmtId="0" fontId="2" fillId="7" borderId="9" applyAlignment="1" pivotButton="0" quotePrefix="0" xfId="0">
      <alignment horizontal="center" vertical="center" wrapText="1"/>
    </xf>
    <xf numFmtId="0" fontId="2" fillId="8" borderId="9" applyAlignment="1" pivotButton="0" quotePrefix="0" xfId="0">
      <alignment horizontal="center" vertical="center" wrapText="1"/>
    </xf>
    <xf numFmtId="0" fontId="2" fillId="6" borderId="9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45" fillId="0" borderId="0" pivotButton="0" quotePrefix="0" xfId="0"/>
    <xf numFmtId="0" fontId="49" fillId="0" borderId="0" pivotButton="0" quotePrefix="0" xfId="0"/>
    <xf numFmtId="0" fontId="50" fillId="28" borderId="58" applyAlignment="1" pivotButton="0" quotePrefix="0" xfId="0">
      <alignment horizontal="center" vertical="center" wrapText="1"/>
    </xf>
    <xf numFmtId="0" fontId="50" fillId="0" borderId="58" applyAlignment="1" pivotButton="0" quotePrefix="0" xfId="0">
      <alignment horizontal="center" vertical="center"/>
    </xf>
    <xf numFmtId="0" fontId="49" fillId="0" borderId="58" applyAlignment="1" pivotButton="0" quotePrefix="0" xfId="0">
      <alignment horizontal="center" vertical="center"/>
    </xf>
    <xf numFmtId="0" fontId="43" fillId="0" borderId="58" applyAlignment="1" pivotButton="0" quotePrefix="0" xfId="0">
      <alignment horizontal="center" vertical="center" wrapText="1"/>
    </xf>
    <xf numFmtId="0" fontId="0" fillId="0" borderId="60" pivotButton="0" quotePrefix="0" xfId="0"/>
    <xf numFmtId="0" fontId="43" fillId="26" borderId="58" applyAlignment="1" pivotButton="0" quotePrefix="0" xfId="0">
      <alignment horizontal="center" vertical="center" wrapText="1"/>
    </xf>
    <xf numFmtId="0" fontId="43" fillId="29" borderId="58" applyAlignment="1" pivotButton="0" quotePrefix="0" xfId="0">
      <alignment horizontal="center" vertical="center" wrapText="1"/>
    </xf>
    <xf numFmtId="0" fontId="0" fillId="0" borderId="61" pivotButton="0" quotePrefix="0" xfId="0"/>
    <xf numFmtId="0" fontId="43" fillId="30" borderId="58" applyAlignment="1" pivotButton="0" quotePrefix="0" xfId="0">
      <alignment horizontal="center" vertical="center" wrapText="1"/>
    </xf>
    <xf numFmtId="0" fontId="51" fillId="0" borderId="0" pivotButton="0" quotePrefix="0" xfId="0"/>
    <xf numFmtId="0" fontId="50" fillId="28" borderId="58" applyAlignment="1" pivotButton="0" quotePrefix="0" xfId="0">
      <alignment horizontal="center" wrapText="1"/>
    </xf>
    <xf numFmtId="0" fontId="49" fillId="0" borderId="58" applyAlignment="1" pivotButton="0" quotePrefix="0" xfId="0">
      <alignment horizontal="center"/>
    </xf>
    <xf numFmtId="0" fontId="52" fillId="0" borderId="0" pivotButton="0" quotePrefix="0" xfId="0"/>
    <xf numFmtId="0" fontId="50" fillId="28" borderId="58" applyAlignment="1" pivotButton="0" quotePrefix="0" xfId="0">
      <alignment horizontal="center" vertical="center"/>
    </xf>
    <xf numFmtId="0" fontId="53" fillId="26" borderId="58" applyAlignment="1" pivotButton="0" quotePrefix="0" xfId="0">
      <alignment horizontal="center" vertical="center" wrapText="1"/>
    </xf>
    <xf numFmtId="0" fontId="53" fillId="26" borderId="58" applyAlignment="1" pivotButton="0" quotePrefix="0" xfId="0">
      <alignment horizontal="left" vertical="center" wrapText="1"/>
    </xf>
    <xf numFmtId="0" fontId="50" fillId="0" borderId="0" pivotButton="0" quotePrefix="0" xfId="0"/>
    <xf numFmtId="0" fontId="53" fillId="30" borderId="58" applyAlignment="1" pivotButton="0" quotePrefix="0" xfId="0">
      <alignment horizontal="center" vertical="center" wrapText="1"/>
    </xf>
    <xf numFmtId="0" fontId="53" fillId="30" borderId="58" applyAlignment="1" pivotButton="0" quotePrefix="0" xfId="0">
      <alignment horizontal="left" vertical="center" wrapText="1"/>
    </xf>
  </cellXfs>
  <cellStyles count="22">
    <cellStyle name="Normal" xfId="0" builtinId="0"/>
    <cellStyle name="Normal 2" xfId="1"/>
    <cellStyle name="ปกติ 2" xfId="2"/>
    <cellStyle name="ปกติ 6" xfId="3"/>
    <cellStyle name="ปกติ 4" xfId="4"/>
    <cellStyle name="Normal 4" xfId="5"/>
    <cellStyle name="ปกติ 3" xfId="6"/>
    <cellStyle name="Comma 2" xfId="7"/>
    <cellStyle name="ปกติ 2 2" xfId="8"/>
    <cellStyle name="ปกติ 5" xfId="9"/>
    <cellStyle name="Normal 3" xfId="10"/>
    <cellStyle name="ปกติ 2 3" xfId="11"/>
    <cellStyle name="Normal 2 2" xfId="12"/>
    <cellStyle name="ปกติ 3 6" xfId="13"/>
    <cellStyle name="ปกติ 3 2" xfId="14"/>
    <cellStyle name="ปกติ 3 3" xfId="15"/>
    <cellStyle name="ปกติ 3 4" xfId="16"/>
    <cellStyle name="ปกติ 3 5" xfId="17"/>
    <cellStyle name="ปกติ 6 2" xfId="18"/>
    <cellStyle name="ปกติ 7" xfId="19"/>
    <cellStyle name="ปกติ 4 2" xfId="20"/>
    <cellStyle name="ปกติ 2 2 2" xfId="2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975" min="1" max="1"/>
    <col width="10" customWidth="1" style="975" min="2" max="2"/>
    <col width="13" customWidth="1" style="975" min="3" max="3"/>
    <col width="13" customWidth="1" style="975" min="4" max="4"/>
    <col width="13" customWidth="1" style="975" min="5" max="5"/>
    <col width="13" customWidth="1" style="975" min="6" max="6"/>
    <col width="13" customWidth="1" style="975" min="7" max="7"/>
    <col width="13" customWidth="1" style="975" min="8" max="8"/>
    <col width="13" customWidth="1" style="975" min="9" max="9"/>
    <col width="13" customWidth="1" style="975" min="10" max="10"/>
    <col width="13" customWidth="1" style="975" min="11" max="11"/>
    <col width="13" customWidth="1" style="975" min="12" max="12"/>
    <col width="12" customWidth="1" style="975" min="13" max="13"/>
    <col width="13" customWidth="1" style="975" min="14" max="14"/>
    <col width="11" customWidth="1" style="975" min="16" max="16"/>
    <col width="38" customWidth="1" style="975" min="17" max="17"/>
    <col width="7" customWidth="1" style="975" min="18" max="18"/>
    <col width="6" customWidth="1" style="975" min="19" max="19"/>
    <col width="6" customWidth="1" style="975" min="20" max="20"/>
    <col width="26" customWidth="1" style="975" min="21" max="21"/>
    <col width="30" customWidth="1" style="975" min="22" max="22"/>
  </cols>
  <sheetData>
    <row r="1">
      <c r="A1" s="1154" t="inlineStr">
        <is>
          <t>ภาพรวมการใช้ห้องเรียนและห้องปฏิบัติการ ค.อ.บ.ยธ. ภาคเรียนที่ 2/2569</t>
        </is>
      </c>
    </row>
    <row r="2">
      <c r="A2" s="1155" t="inlineStr">
        <is>
          <t>สีเหลือง = ค.อ.บ.ยธ. (รหัสวิชา/ชั้นปี)   สีชมพู = หลักสูตรอื่นใช้อยู่   สีม่วง = คาบกิจกรรม   (ช่องละ 1 ชั่วโมง ตั้งแต่ 8.00 ถึง 18.00 น.)</t>
        </is>
      </c>
    </row>
    <row r="3">
      <c r="P3" s="1165" t="inlineStr">
        <is>
          <t>รหัสและชื่อวิชา</t>
        </is>
      </c>
    </row>
    <row r="4">
      <c r="A4" s="1156" t="inlineStr">
        <is>
          <t>ห้อง</t>
        </is>
      </c>
      <c r="B4" s="1156" t="inlineStr">
        <is>
          <t>วัน</t>
        </is>
      </c>
      <c r="C4" s="1156" t="inlineStr">
        <is>
          <t>8.00-9.00</t>
        </is>
      </c>
      <c r="D4" s="1156" t="inlineStr">
        <is>
          <t>9.00-10.00</t>
        </is>
      </c>
      <c r="E4" s="1156" t="inlineStr">
        <is>
          <t>10.00-11.00</t>
        </is>
      </c>
      <c r="F4" s="1156" t="inlineStr">
        <is>
          <t>11.00-12.00</t>
        </is>
      </c>
      <c r="G4" s="1156" t="inlineStr">
        <is>
          <t>12.00-13.00</t>
        </is>
      </c>
      <c r="H4" s="1156" t="inlineStr">
        <is>
          <t>13.00-14.00</t>
        </is>
      </c>
      <c r="I4" s="1156" t="inlineStr">
        <is>
          <t>14.00-15.00</t>
        </is>
      </c>
      <c r="J4" s="1156" t="inlineStr">
        <is>
          <t>15.00-16.00</t>
        </is>
      </c>
      <c r="K4" s="1156" t="inlineStr">
        <is>
          <t>16.00-17.00</t>
        </is>
      </c>
      <c r="L4" s="1156" t="inlineStr">
        <is>
          <t>17.00-18.00</t>
        </is>
      </c>
      <c r="M4" s="1156" t="inlineStr">
        <is>
          <t>ชม. ค.อ.บ.ยธ.</t>
        </is>
      </c>
      <c r="N4" s="1156" t="inlineStr">
        <is>
          <t>ชม. หลักสูตรอื่น</t>
        </is>
      </c>
      <c r="P4" s="1169" t="inlineStr">
        <is>
          <t>รหัสวิชา</t>
        </is>
      </c>
      <c r="Q4" s="1169" t="inlineStr">
        <is>
          <t>ชื่อวิชา</t>
        </is>
      </c>
      <c r="R4" s="1169" t="inlineStr">
        <is>
          <t>ชั้นปี</t>
        </is>
      </c>
      <c r="S4" s="1169" t="inlineStr">
        <is>
          <t>ท.</t>
        </is>
      </c>
      <c r="T4" s="1169" t="inlineStr">
        <is>
          <t>ป.</t>
        </is>
      </c>
      <c r="U4" s="1169" t="inlineStr">
        <is>
          <t>ผู้สอน</t>
        </is>
      </c>
      <c r="V4" s="1169" t="inlineStr">
        <is>
          <t>ห้อง</t>
        </is>
      </c>
    </row>
    <row r="5">
      <c r="A5" s="1157" t="inlineStr">
        <is>
          <t>ยธ.1-102</t>
        </is>
      </c>
      <c r="B5" s="1158" t="inlineStr">
        <is>
          <t>จันทร์</t>
        </is>
      </c>
      <c r="C5" s="1159" t="n"/>
      <c r="D5" s="1159" t="n"/>
      <c r="E5" s="1159" t="n"/>
      <c r="F5" s="1159" t="n"/>
      <c r="G5" s="1159" t="n"/>
      <c r="H5" s="1159" t="n"/>
      <c r="I5" s="1159" t="n"/>
      <c r="J5" s="1159" t="n"/>
      <c r="K5" s="1159" t="n"/>
      <c r="L5" s="1159" t="n"/>
      <c r="M5" s="1158">
        <f>COUNTIF(C5:L5,"TEDC*")</f>
        <v/>
      </c>
      <c r="N5" s="1158">
        <f>COUNTIF(C5:L5,"อื่น*")</f>
        <v/>
      </c>
      <c r="P5" s="1170" t="inlineStr">
        <is>
          <t>TEDCC828</t>
        </is>
      </c>
      <c r="Q5" s="1171" t="inlineStr">
        <is>
          <t>การพัฒนาหลักสูตรอาชีวศึกษา</t>
        </is>
      </c>
      <c r="R5" s="1170" t="n">
        <v>1</v>
      </c>
      <c r="S5" s="1170" t="n">
        <v>1</v>
      </c>
      <c r="T5" s="1170" t="n">
        <v>2</v>
      </c>
      <c r="U5" s="1171" t="inlineStr">
        <is>
          <t>อ.อลงกต อ.โชติกาญจน์</t>
        </is>
      </c>
      <c r="V5" s="1171" t="inlineStr">
        <is>
          <t>ยธ.1-202</t>
        </is>
      </c>
    </row>
    <row r="6">
      <c r="A6" s="1160" t="n"/>
      <c r="B6" s="1158" t="inlineStr">
        <is>
          <t>อังคาร</t>
        </is>
      </c>
      <c r="C6" s="1159" t="n"/>
      <c r="D6" s="1159" t="n"/>
      <c r="E6" s="1159" t="n"/>
      <c r="F6" s="1159" t="n"/>
      <c r="G6" s="1159" t="n"/>
      <c r="H6" s="1161" t="inlineStr">
        <is>
          <t>TEDCV927 ปี2</t>
        </is>
      </c>
      <c r="I6" s="1161" t="inlineStr">
        <is>
          <t>TEDCV927 ปี2</t>
        </is>
      </c>
      <c r="J6" s="1161" t="inlineStr">
        <is>
          <t>TEDCV927 ปี2</t>
        </is>
      </c>
      <c r="K6" s="1159" t="n"/>
      <c r="L6" s="1159" t="n"/>
      <c r="M6" s="1158">
        <f>COUNTIF(C6:L6,"TEDC*")</f>
        <v/>
      </c>
      <c r="N6" s="1158">
        <f>COUNTIF(C6:L6,"อื่น*")</f>
        <v/>
      </c>
      <c r="P6" s="1170" t="inlineStr">
        <is>
          <t>TEDCC829</t>
        </is>
      </c>
      <c r="Q6" s="1171" t="inlineStr">
        <is>
          <t>ปรัชญาอาชีวศึกษาและการประกันคุณภาพ</t>
        </is>
      </c>
      <c r="R6" s="1170" t="n">
        <v>1</v>
      </c>
      <c r="S6" s="1170" t="n">
        <v>1</v>
      </c>
      <c r="T6" s="1170" t="n">
        <v>2</v>
      </c>
      <c r="U6" s="1171" t="inlineStr">
        <is>
          <t>อ.อรทัย</t>
        </is>
      </c>
      <c r="V6" s="1171" t="inlineStr">
        <is>
          <t>ยธ.1-102</t>
        </is>
      </c>
    </row>
    <row r="7">
      <c r="A7" s="1160" t="n"/>
      <c r="B7" s="1158" t="inlineStr">
        <is>
          <t>พุธ</t>
        </is>
      </c>
      <c r="C7" s="1161" t="inlineStr">
        <is>
          <t>TEDCV027 ปี3</t>
        </is>
      </c>
      <c r="D7" s="1161" t="inlineStr">
        <is>
          <t>TEDCV027 ปี3</t>
        </is>
      </c>
      <c r="E7" s="1159" t="n"/>
      <c r="F7" s="1159" t="n"/>
      <c r="G7" s="1159" t="n"/>
      <c r="H7" s="1159" t="n"/>
      <c r="I7" s="1159" t="n"/>
      <c r="J7" s="1162" t="inlineStr">
        <is>
          <t>กิจกรรม</t>
        </is>
      </c>
      <c r="K7" s="1162" t="inlineStr">
        <is>
          <t>กิจกรรม</t>
        </is>
      </c>
      <c r="L7" s="1159" t="n"/>
      <c r="M7" s="1158">
        <f>COUNTIF(C7:L7,"TEDC*")</f>
        <v/>
      </c>
      <c r="N7" s="1158">
        <f>COUNTIF(C7:L7,"อื่น*")</f>
        <v/>
      </c>
      <c r="P7" s="1170" t="inlineStr">
        <is>
          <t>TEDCV002</t>
        </is>
      </c>
      <c r="Q7" s="1171" t="inlineStr">
        <is>
          <t>กลศาสตร์ของวัสดุ 1</t>
        </is>
      </c>
      <c r="R7" s="1170" t="n">
        <v>1</v>
      </c>
      <c r="S7" s="1170" t="n">
        <v>3</v>
      </c>
      <c r="T7" s="1170" t="n">
        <v>0</v>
      </c>
      <c r="U7" s="1171" t="inlineStr">
        <is>
          <t>อ.ภาณุภัค</t>
        </is>
      </c>
      <c r="V7" s="1171" t="inlineStr">
        <is>
          <t>ยธ.1-202</t>
        </is>
      </c>
    </row>
    <row r="8">
      <c r="A8" s="1160" t="n"/>
      <c r="B8" s="1158" t="inlineStr">
        <is>
          <t>พฤหัสบดี</t>
        </is>
      </c>
      <c r="C8" s="1159" t="n"/>
      <c r="D8" s="1159" t="n"/>
      <c r="E8" s="1159" t="n"/>
      <c r="F8" s="1159" t="n"/>
      <c r="G8" s="1159" t="n"/>
      <c r="H8" s="1161" t="inlineStr">
        <is>
          <t>TEDCV005 ปี3</t>
        </is>
      </c>
      <c r="I8" s="1161" t="inlineStr">
        <is>
          <t>TEDCV005 ปี3</t>
        </is>
      </c>
      <c r="J8" s="1161" t="inlineStr">
        <is>
          <t>TEDCV005 ปี3</t>
        </is>
      </c>
      <c r="K8" s="1159" t="n"/>
      <c r="L8" s="1159" t="n"/>
      <c r="M8" s="1158">
        <f>COUNTIF(C8:L8,"TEDC*")</f>
        <v/>
      </c>
      <c r="N8" s="1158">
        <f>COUNTIF(C8:L8,"อื่น*")</f>
        <v/>
      </c>
      <c r="P8" s="1170" t="inlineStr">
        <is>
          <t>TEDCV902</t>
        </is>
      </c>
      <c r="Q8" s="1171" t="inlineStr">
        <is>
          <t>เขียนแบบก่อสร้าง 2</t>
        </is>
      </c>
      <c r="R8" s="1170" t="n">
        <v>1</v>
      </c>
      <c r="S8" s="1170" t="n">
        <v>1</v>
      </c>
      <c r="T8" s="1170" t="n">
        <v>3</v>
      </c>
      <c r="U8" s="1171" t="inlineStr">
        <is>
          <t>อ.อัครพงษ์</t>
        </is>
      </c>
      <c r="V8" s="1171" t="inlineStr">
        <is>
          <t>ยธ.1-202</t>
        </is>
      </c>
    </row>
    <row r="9">
      <c r="A9" s="1163" t="n"/>
      <c r="B9" s="1158" t="inlineStr">
        <is>
          <t>ศุกร์</t>
        </is>
      </c>
      <c r="C9" s="1161" t="inlineStr">
        <is>
          <t>TEDCC832 ปี2</t>
        </is>
      </c>
      <c r="D9" s="1161" t="inlineStr">
        <is>
          <t>TEDCC832 ปี2</t>
        </is>
      </c>
      <c r="E9" s="1161" t="inlineStr">
        <is>
          <t>TEDCC832 ปี2</t>
        </is>
      </c>
      <c r="F9" s="1161" t="inlineStr">
        <is>
          <t>TEDCC832 ปี2</t>
        </is>
      </c>
      <c r="G9" s="1159" t="n"/>
      <c r="H9" s="1161" t="inlineStr">
        <is>
          <t>TEDCC829 ปี1</t>
        </is>
      </c>
      <c r="I9" s="1161" t="inlineStr">
        <is>
          <t>TEDCC829 ปี1</t>
        </is>
      </c>
      <c r="J9" s="1161" t="inlineStr">
        <is>
          <t>TEDCC829 ปี1</t>
        </is>
      </c>
      <c r="K9" s="1159" t="n"/>
      <c r="L9" s="1159" t="n"/>
      <c r="M9" s="1158">
        <f>COUNTIF(C9:L9,"TEDC*")</f>
        <v/>
      </c>
      <c r="N9" s="1158">
        <f>COUNTIF(C9:L9,"อื่น*")</f>
        <v/>
      </c>
      <c r="P9" s="1170" t="inlineStr">
        <is>
          <t>TEDCV931</t>
        </is>
      </c>
      <c r="Q9" s="1171" t="inlineStr">
        <is>
          <t>ปฏิบัติงานเทคนิคก่อสร้าง 2</t>
        </is>
      </c>
      <c r="R9" s="1170" t="n">
        <v>1</v>
      </c>
      <c r="S9" s="1170" t="n">
        <v>1</v>
      </c>
      <c r="T9" s="1170" t="n">
        <v>6</v>
      </c>
      <c r="U9" s="1171" t="inlineStr">
        <is>
          <t>อ.อัครพงษ์</t>
        </is>
      </c>
      <c r="V9" s="1171" t="inlineStr">
        <is>
          <t>LAB Workshop</t>
        </is>
      </c>
    </row>
    <row r="10">
      <c r="A10" s="1157" t="inlineStr">
        <is>
          <t>ยธ.1-201</t>
        </is>
      </c>
      <c r="B10" s="1158" t="inlineStr">
        <is>
          <t>จันทร์</t>
        </is>
      </c>
      <c r="C10" s="1161" t="inlineStr">
        <is>
          <t>TEDCV926 ปี3</t>
        </is>
      </c>
      <c r="D10" s="1161" t="inlineStr">
        <is>
          <t>TEDCV926 ปี3</t>
        </is>
      </c>
      <c r="E10" s="1159" t="n"/>
      <c r="F10" s="1159" t="n"/>
      <c r="G10" s="1159" t="n"/>
      <c r="H10" s="1161" t="inlineStr">
        <is>
          <t>TEDCC830 ปี2</t>
        </is>
      </c>
      <c r="I10" s="1161" t="inlineStr">
        <is>
          <t>TEDCC830 ปี2</t>
        </is>
      </c>
      <c r="J10" s="1161" t="inlineStr">
        <is>
          <t>TEDCC830 ปี2</t>
        </is>
      </c>
      <c r="K10" s="1161" t="inlineStr">
        <is>
          <t>TEDCC830 ปี2</t>
        </is>
      </c>
      <c r="L10" s="1161" t="inlineStr">
        <is>
          <t>TEDCC830 ปี2</t>
        </is>
      </c>
      <c r="M10" s="1158">
        <f>COUNTIF(C10:L10,"TEDC*")</f>
        <v/>
      </c>
      <c r="N10" s="1158">
        <f>COUNTIF(C10:L10,"อื่น*")</f>
        <v/>
      </c>
      <c r="P10" s="1170" t="inlineStr">
        <is>
          <t>TEDCC830</t>
        </is>
      </c>
      <c r="Q10" s="1171" t="inlineStr">
        <is>
          <t>การจัดการเรียนรู้และการจัดการชั้นเรียน</t>
        </is>
      </c>
      <c r="R10" s="1170" t="n">
        <v>2</v>
      </c>
      <c r="S10" s="1170" t="n">
        <v>1</v>
      </c>
      <c r="T10" s="1170" t="n">
        <v>4</v>
      </c>
      <c r="U10" s="1171" t="inlineStr">
        <is>
          <t>อ.อลงกต</t>
        </is>
      </c>
      <c r="V10" s="1171" t="inlineStr">
        <is>
          <t>ยธ.1-201</t>
        </is>
      </c>
    </row>
    <row r="11">
      <c r="A11" s="1160" t="n"/>
      <c r="B11" s="1158" t="inlineStr">
        <is>
          <t>อังคาร</t>
        </is>
      </c>
      <c r="C11" s="1159" t="n"/>
      <c r="D11" s="1159" t="n"/>
      <c r="E11" s="1159" t="n"/>
      <c r="F11" s="1159" t="n"/>
      <c r="G11" s="1159" t="n"/>
      <c r="H11" s="1159" t="n"/>
      <c r="I11" s="1159" t="n"/>
      <c r="J11" s="1159" t="n"/>
      <c r="K11" s="1159" t="n"/>
      <c r="L11" s="1159" t="n"/>
      <c r="M11" s="1158">
        <f>COUNTIF(C11:L11,"TEDC*")</f>
        <v/>
      </c>
      <c r="N11" s="1158">
        <f>COUNTIF(C11:L11,"อื่น*")</f>
        <v/>
      </c>
      <c r="P11" s="1170" t="inlineStr">
        <is>
          <t>TEDCC832</t>
        </is>
      </c>
      <c r="Q11" s="1171" t="inlineStr">
        <is>
          <t>การวิจัยเพื่อพัฒนาการเรียนรู้ทางวิชาชีพ</t>
        </is>
      </c>
      <c r="R11" s="1170" t="n">
        <v>2</v>
      </c>
      <c r="S11" s="1170" t="n">
        <v>2</v>
      </c>
      <c r="T11" s="1170" t="n">
        <v>2</v>
      </c>
      <c r="U11" s="1171" t="inlineStr">
        <is>
          <t>อ.อรทัย</t>
        </is>
      </c>
      <c r="V11" s="1171" t="inlineStr">
        <is>
          <t>ยธ.1-102</t>
        </is>
      </c>
    </row>
    <row r="12">
      <c r="A12" s="1160" t="n"/>
      <c r="B12" s="1158" t="inlineStr">
        <is>
          <t>พุธ</t>
        </is>
      </c>
      <c r="C12" s="1159" t="n"/>
      <c r="D12" s="1159" t="n"/>
      <c r="E12" s="1159" t="n"/>
      <c r="F12" s="1159" t="n"/>
      <c r="G12" s="1159" t="n"/>
      <c r="H12" s="1159" t="n"/>
      <c r="I12" s="1159" t="n"/>
      <c r="J12" s="1162" t="inlineStr">
        <is>
          <t>กิจกรรม</t>
        </is>
      </c>
      <c r="K12" s="1162" t="inlineStr">
        <is>
          <t>กิจกรรม</t>
        </is>
      </c>
      <c r="L12" s="1159" t="n"/>
      <c r="M12" s="1158">
        <f>COUNTIF(C12:L12,"TEDC*")</f>
        <v/>
      </c>
      <c r="N12" s="1158">
        <f>COUNTIF(C12:L12,"อื่น*")</f>
        <v/>
      </c>
      <c r="P12" s="1170" t="inlineStr">
        <is>
          <t>TEDCV927</t>
        </is>
      </c>
      <c r="Q12" s="1171" t="inlineStr">
        <is>
          <t>การบริหารทรัพยากรอาคาร (วิชาเลือก)</t>
        </is>
      </c>
      <c r="R12" s="1170" t="n">
        <v>2</v>
      </c>
      <c r="S12" s="1170" t="n">
        <v>3</v>
      </c>
      <c r="T12" s="1170" t="n">
        <v>0</v>
      </c>
      <c r="U12" s="1171" t="inlineStr">
        <is>
          <t>อ.เจษฎาพร</t>
        </is>
      </c>
      <c r="V12" s="1171" t="inlineStr">
        <is>
          <t>ยธ.1-102</t>
        </is>
      </c>
    </row>
    <row r="13">
      <c r="A13" s="1160" t="n"/>
      <c r="B13" s="1158" t="inlineStr">
        <is>
          <t>พฤหัสบดี</t>
        </is>
      </c>
      <c r="C13" s="1161" t="inlineStr">
        <is>
          <t>TEDCV924 ปี3</t>
        </is>
      </c>
      <c r="D13" s="1161" t="inlineStr">
        <is>
          <t>TEDCV924 ปี3</t>
        </is>
      </c>
      <c r="E13" s="1161" t="inlineStr">
        <is>
          <t>TEDCV924 ปี3</t>
        </is>
      </c>
      <c r="F13" s="1161" t="inlineStr">
        <is>
          <t>TEDCV924 ปี3</t>
        </is>
      </c>
      <c r="G13" s="1159" t="n"/>
      <c r="H13" s="1159" t="n"/>
      <c r="I13" s="1159" t="n"/>
      <c r="J13" s="1159" t="n"/>
      <c r="K13" s="1159" t="n"/>
      <c r="L13" s="1159" t="n"/>
      <c r="M13" s="1158">
        <f>COUNTIF(C13:L13,"TEDC*")</f>
        <v/>
      </c>
      <c r="N13" s="1158">
        <f>COUNTIF(C13:L13,"อื่น*")</f>
        <v/>
      </c>
      <c r="P13" s="1170" t="inlineStr">
        <is>
          <t>TEDCV028</t>
        </is>
      </c>
      <c r="Q13" s="1171" t="inlineStr">
        <is>
          <t>Mechanics of Materials 2 (วิชาเลือก)</t>
        </is>
      </c>
      <c r="R13" s="1170" t="n">
        <v>2</v>
      </c>
      <c r="S13" s="1170" t="n">
        <v>3</v>
      </c>
      <c r="T13" s="1170" t="n">
        <v>0</v>
      </c>
      <c r="U13" s="1171" t="inlineStr">
        <is>
          <t>อ.ภาณุภัค</t>
        </is>
      </c>
      <c r="V13" s="1171" t="inlineStr">
        <is>
          <t>ยธ.1-202</t>
        </is>
      </c>
    </row>
    <row r="14">
      <c r="A14" s="1163" t="n"/>
      <c r="B14" s="1158" t="inlineStr">
        <is>
          <t>ศุกร์</t>
        </is>
      </c>
      <c r="C14" s="1159" t="n"/>
      <c r="D14" s="1159" t="n"/>
      <c r="E14" s="1159" t="n"/>
      <c r="F14" s="1159" t="n"/>
      <c r="G14" s="1159" t="n"/>
      <c r="H14" s="1161" t="inlineStr">
        <is>
          <t>TEDCV009 ปี2</t>
        </is>
      </c>
      <c r="I14" s="1161" t="inlineStr">
        <is>
          <t>TEDCV009 ปี2</t>
        </is>
      </c>
      <c r="J14" s="1159" t="n"/>
      <c r="K14" s="1159" t="n"/>
      <c r="L14" s="1159" t="n"/>
      <c r="M14" s="1158">
        <f>COUNTIF(C14:L14,"TEDC*")</f>
        <v/>
      </c>
      <c r="N14" s="1158">
        <f>COUNTIF(C14:L14,"อื่น*")</f>
        <v/>
      </c>
      <c r="P14" s="1170" t="inlineStr">
        <is>
          <t>TEDCV009</t>
        </is>
      </c>
      <c r="Q14" s="1171" t="inlineStr">
        <is>
          <t>คอนกรีตเทคโนโลยี</t>
        </is>
      </c>
      <c r="R14" s="1170" t="n">
        <v>2</v>
      </c>
      <c r="S14" s="1170" t="n">
        <v>2</v>
      </c>
      <c r="T14" s="1170" t="n">
        <v>3</v>
      </c>
      <c r="U14" s="1171" t="inlineStr">
        <is>
          <t>อ.โชติกาญจน์</t>
        </is>
      </c>
      <c r="V14" s="1171" t="inlineStr">
        <is>
          <t>ท. ยธ.1-201 / ป. LAB Concrete</t>
        </is>
      </c>
    </row>
    <row r="15">
      <c r="A15" s="1157" t="inlineStr">
        <is>
          <t>ยธ.1-202</t>
        </is>
      </c>
      <c r="B15" s="1158" t="inlineStr">
        <is>
          <t>จันทร์</t>
        </is>
      </c>
      <c r="C15" s="1161" t="inlineStr">
        <is>
          <t>TEDCV902 ปี1</t>
        </is>
      </c>
      <c r="D15" s="1161" t="inlineStr">
        <is>
          <t>TEDCV902 ปี1</t>
        </is>
      </c>
      <c r="E15" s="1161" t="inlineStr">
        <is>
          <t>TEDCV902 ปี1</t>
        </is>
      </c>
      <c r="F15" s="1161" t="inlineStr">
        <is>
          <t>TEDCV902 ปี1</t>
        </is>
      </c>
      <c r="G15" s="1159" t="n"/>
      <c r="H15" s="1161" t="inlineStr">
        <is>
          <t>TEDCV002 ปี1</t>
        </is>
      </c>
      <c r="I15" s="1161" t="inlineStr">
        <is>
          <t>TEDCV002 ปี1</t>
        </is>
      </c>
      <c r="J15" s="1161" t="inlineStr">
        <is>
          <t>TEDCV002 ปี1</t>
        </is>
      </c>
      <c r="K15" s="1159" t="n"/>
      <c r="L15" s="1159" t="n"/>
      <c r="M15" s="1158">
        <f>COUNTIF(C15:L15,"TEDC*")</f>
        <v/>
      </c>
      <c r="N15" s="1158">
        <f>COUNTIF(C15:L15,"อื่น*")</f>
        <v/>
      </c>
      <c r="P15" s="1170" t="inlineStr">
        <is>
          <t>TEDCV024</t>
        </is>
      </c>
      <c r="Q15" s="1171" t="inlineStr">
        <is>
          <t>การเตรียมโครงงานทางครุศาสตร์อุตสาหกรรมโยธา</t>
        </is>
      </c>
      <c r="R15" s="1170" t="n">
        <v>2</v>
      </c>
      <c r="S15" s="1170" t="n">
        <v>0</v>
      </c>
      <c r="T15" s="1170" t="n">
        <v>3</v>
      </c>
      <c r="U15" s="1171" t="inlineStr">
        <is>
          <t>อ.เจษฎาพร</t>
        </is>
      </c>
      <c r="V15" s="1171" t="inlineStr">
        <is>
          <t>ยธ.1-202</t>
        </is>
      </c>
    </row>
    <row r="16">
      <c r="A16" s="1160" t="n"/>
      <c r="B16" s="1158" t="inlineStr">
        <is>
          <t>อังคาร</t>
        </is>
      </c>
      <c r="C16" s="1159" t="n"/>
      <c r="D16" s="1159" t="n"/>
      <c r="E16" s="1159" t="n"/>
      <c r="F16" s="1159" t="n"/>
      <c r="G16" s="1159" t="n"/>
      <c r="H16" s="1161" t="inlineStr">
        <is>
          <t>TEDCV028 ปี2</t>
        </is>
      </c>
      <c r="I16" s="1161" t="inlineStr">
        <is>
          <t>TEDCV028 ปี2</t>
        </is>
      </c>
      <c r="J16" s="1161" t="inlineStr">
        <is>
          <t>TEDCV028 ปี2</t>
        </is>
      </c>
      <c r="K16" s="1159" t="n"/>
      <c r="L16" s="1159" t="n"/>
      <c r="M16" s="1158">
        <f>COUNTIF(C16:L16,"TEDC*")</f>
        <v/>
      </c>
      <c r="N16" s="1158">
        <f>COUNTIF(C16:L16,"อื่น*")</f>
        <v/>
      </c>
      <c r="P16" s="1170" t="inlineStr">
        <is>
          <t>TEDCC835</t>
        </is>
      </c>
      <c r="Q16" s="1171" t="inlineStr">
        <is>
          <t>การฝึกปฏิบัติการสอนวิชาชีพระหว่างเรียน</t>
        </is>
      </c>
      <c r="R16" s="1170" t="n">
        <v>3</v>
      </c>
      <c r="S16" s="1170" t="n">
        <v>0</v>
      </c>
      <c r="T16" s="1170" t="n">
        <v>3</v>
      </c>
      <c r="U16" s="1171" t="inlineStr">
        <is>
          <t>อ.อลงกต อ.เจษฎาพร</t>
        </is>
      </c>
      <c r="V16" s="1171" t="inlineStr">
        <is>
          <t>ยธ.1-202</t>
        </is>
      </c>
    </row>
    <row r="17">
      <c r="A17" s="1160" t="n"/>
      <c r="B17" s="1158" t="inlineStr">
        <is>
          <t>พุธ</t>
        </is>
      </c>
      <c r="C17" s="1161" t="inlineStr">
        <is>
          <t>TEDCC828 ปี1</t>
        </is>
      </c>
      <c r="D17" s="1161" t="inlineStr">
        <is>
          <t>TEDCC828 ปี1</t>
        </is>
      </c>
      <c r="E17" s="1161" t="inlineStr">
        <is>
          <t>TEDCC828 ปี1</t>
        </is>
      </c>
      <c r="F17" s="1159" t="n"/>
      <c r="G17" s="1161" t="inlineStr">
        <is>
          <t>TEDCV024 ปี2</t>
        </is>
      </c>
      <c r="H17" s="1161" t="inlineStr">
        <is>
          <t>TEDCV024 ปี2</t>
        </is>
      </c>
      <c r="I17" s="1161" t="inlineStr">
        <is>
          <t>TEDCV024 ปี2</t>
        </is>
      </c>
      <c r="J17" s="1162" t="inlineStr">
        <is>
          <t>กิจกรรม</t>
        </is>
      </c>
      <c r="K17" s="1162" t="inlineStr">
        <is>
          <t>กิจกรรม</t>
        </is>
      </c>
      <c r="L17" s="1159" t="n"/>
      <c r="M17" s="1158">
        <f>COUNTIF(C17:L17,"TEDC*")</f>
        <v/>
      </c>
      <c r="N17" s="1158">
        <f>COUNTIF(C17:L17,"อื่น*")</f>
        <v/>
      </c>
      <c r="P17" s="1170" t="inlineStr">
        <is>
          <t>TEDCV005</t>
        </is>
      </c>
      <c r="Q17" s="1171" t="inlineStr">
        <is>
          <t>การออกแบบโครงสร้างไม้และเหล็ก</t>
        </is>
      </c>
      <c r="R17" s="1170" t="n">
        <v>3</v>
      </c>
      <c r="S17" s="1170" t="n">
        <v>3</v>
      </c>
      <c r="T17" s="1170" t="n">
        <v>0</v>
      </c>
      <c r="U17" s="1171" t="inlineStr">
        <is>
          <t>อ.ภาณุภัค</t>
        </is>
      </c>
      <c r="V17" s="1171" t="inlineStr">
        <is>
          <t>ยธ.1-102</t>
        </is>
      </c>
    </row>
    <row r="18">
      <c r="A18" s="1160" t="n"/>
      <c r="B18" s="1158" t="inlineStr">
        <is>
          <t>พฤหัสบดี</t>
        </is>
      </c>
      <c r="C18" s="1159" t="n"/>
      <c r="D18" s="1159" t="n"/>
      <c r="E18" s="1159" t="n"/>
      <c r="F18" s="1159" t="n"/>
      <c r="G18" s="1159" t="n"/>
      <c r="H18" s="1159" t="n"/>
      <c r="I18" s="1159" t="n"/>
      <c r="J18" s="1159" t="n"/>
      <c r="K18" s="1159" t="n"/>
      <c r="L18" s="1159" t="n"/>
      <c r="M18" s="1158">
        <f>COUNTIF(C18:L18,"TEDC*")</f>
        <v/>
      </c>
      <c r="N18" s="1158">
        <f>COUNTIF(C18:L18,"อื่น*")</f>
        <v/>
      </c>
      <c r="P18" s="1170" t="inlineStr">
        <is>
          <t>TEDCV027</t>
        </is>
      </c>
      <c r="Q18" s="1171" t="inlineStr">
        <is>
          <t>วิศวกรรมการทาง</t>
        </is>
      </c>
      <c r="R18" s="1170" t="n">
        <v>3</v>
      </c>
      <c r="S18" s="1170" t="n">
        <v>2</v>
      </c>
      <c r="T18" s="1170" t="n">
        <v>3</v>
      </c>
      <c r="U18" s="1171" t="inlineStr">
        <is>
          <t>อ.อัครพงษ์</t>
        </is>
      </c>
      <c r="V18" s="1171" t="inlineStr">
        <is>
          <t>ท. ยธ.1-102 / ป. LAB Highway</t>
        </is>
      </c>
    </row>
    <row r="19">
      <c r="A19" s="1163" t="n"/>
      <c r="B19" s="1158" t="inlineStr">
        <is>
          <t>ศุกร์</t>
        </is>
      </c>
      <c r="C19" s="1161" t="inlineStr">
        <is>
          <t>TEDCV006 ปี3</t>
        </is>
      </c>
      <c r="D19" s="1161" t="inlineStr">
        <is>
          <t>TEDCV006 ปี3</t>
        </is>
      </c>
      <c r="E19" s="1161" t="inlineStr">
        <is>
          <t>TEDCV006 ปี3</t>
        </is>
      </c>
      <c r="F19" s="1159" t="n"/>
      <c r="G19" s="1159" t="n"/>
      <c r="H19" s="1161" t="inlineStr">
        <is>
          <t>TEDCC835 ปี3</t>
        </is>
      </c>
      <c r="I19" s="1161" t="inlineStr">
        <is>
          <t>TEDCC835 ปี3</t>
        </is>
      </c>
      <c r="J19" s="1161" t="inlineStr">
        <is>
          <t>TEDCC835 ปี3</t>
        </is>
      </c>
      <c r="K19" s="1159" t="n"/>
      <c r="L19" s="1159" t="n"/>
      <c r="M19" s="1158">
        <f>COUNTIF(C19:L19,"TEDC*")</f>
        <v/>
      </c>
      <c r="N19" s="1158">
        <f>COUNTIF(C19:L19,"อื่น*")</f>
        <v/>
      </c>
      <c r="P19" s="1170" t="inlineStr">
        <is>
          <t>TEDCV033</t>
        </is>
      </c>
      <c r="Q19" s="1171" t="inlineStr">
        <is>
          <t>ชลศาสตร์</t>
        </is>
      </c>
      <c r="R19" s="1170" t="n">
        <v>3</v>
      </c>
      <c r="S19" s="1170" t="n">
        <v>2</v>
      </c>
      <c r="T19" s="1170" t="n">
        <v>3</v>
      </c>
      <c r="U19" s="1171" t="inlineStr">
        <is>
          <t>อ.ประดิษฐ์ อ.อัครพงษ์</t>
        </is>
      </c>
      <c r="V19" s="1171" t="inlineStr">
        <is>
          <t>ท. ยธ.4-203 / ป. LAB Hydraulic</t>
        </is>
      </c>
    </row>
    <row r="20">
      <c r="A20" s="1157" t="inlineStr">
        <is>
          <t>ยธ.4-203</t>
        </is>
      </c>
      <c r="B20" s="1158" t="inlineStr">
        <is>
          <t>จันทร์</t>
        </is>
      </c>
      <c r="C20" s="1159" t="n"/>
      <c r="D20" s="1159" t="n"/>
      <c r="E20" s="1164" t="inlineStr">
        <is>
          <t>อื่น: ENGCV502</t>
        </is>
      </c>
      <c r="F20" s="1164" t="inlineStr">
        <is>
          <t>อื่น: ENGCV502</t>
        </is>
      </c>
      <c r="G20" s="1164" t="inlineStr">
        <is>
          <t>อื่น: ENGCV502</t>
        </is>
      </c>
      <c r="H20" s="1161" t="inlineStr">
        <is>
          <t>TEDCV033 ปี3</t>
        </is>
      </c>
      <c r="I20" s="1161" t="inlineStr">
        <is>
          <t>TEDCV033 ปี3</t>
        </is>
      </c>
      <c r="J20" s="1159" t="n"/>
      <c r="K20" s="1159" t="n"/>
      <c r="L20" s="1164" t="inlineStr">
        <is>
          <t>อื่น: ENGCV501</t>
        </is>
      </c>
      <c r="M20" s="1158">
        <f>COUNTIF(C20:L20,"TEDC*")</f>
        <v/>
      </c>
      <c r="N20" s="1158">
        <f>COUNTIF(C20:L20,"อื่น*")</f>
        <v/>
      </c>
      <c r="P20" s="1170" t="inlineStr">
        <is>
          <t>TEDCV924</t>
        </is>
      </c>
      <c r="Q20" s="1171" t="inlineStr">
        <is>
          <t>คอมพิวเตอร์สำหรับงานวิศวกรรมโยธา</t>
        </is>
      </c>
      <c r="R20" s="1170" t="n">
        <v>3</v>
      </c>
      <c r="S20" s="1170" t="n">
        <v>1</v>
      </c>
      <c r="T20" s="1170" t="n">
        <v>3</v>
      </c>
      <c r="U20" s="1171" t="inlineStr">
        <is>
          <t>อ.เจษฎาพร อ.โชติกาญจน์</t>
        </is>
      </c>
      <c r="V20" s="1171" t="inlineStr">
        <is>
          <t>ยธ.1-201</t>
        </is>
      </c>
    </row>
    <row r="21">
      <c r="A21" s="1160" t="n"/>
      <c r="B21" s="1158" t="inlineStr">
        <is>
          <t>อังคาร</t>
        </is>
      </c>
      <c r="C21" s="1164" t="inlineStr">
        <is>
          <t>อื่น: ENGCV501</t>
        </is>
      </c>
      <c r="D21" s="1164" t="inlineStr">
        <is>
          <t>อื่น: ENGCV501</t>
        </is>
      </c>
      <c r="E21" s="1164" t="inlineStr">
        <is>
          <t>อื่น: ENGCV501</t>
        </is>
      </c>
      <c r="F21" s="1164" t="inlineStr">
        <is>
          <t>อื่น: ENGCV501</t>
        </is>
      </c>
      <c r="G21" s="1164" t="inlineStr">
        <is>
          <t>อื่น: ENGCV501</t>
        </is>
      </c>
      <c r="H21" s="1164" t="inlineStr">
        <is>
          <t>อื่น: ENGCV501</t>
        </is>
      </c>
      <c r="I21" s="1164" t="inlineStr">
        <is>
          <t>อื่น: ENGCV501</t>
        </is>
      </c>
      <c r="J21" s="1164" t="inlineStr">
        <is>
          <t>อื่น: ENGCV501</t>
        </is>
      </c>
      <c r="K21" s="1164" t="inlineStr">
        <is>
          <t>อื่น: ENGCV501</t>
        </is>
      </c>
      <c r="L21" s="1164" t="inlineStr">
        <is>
          <t>อื่น: ENGCV501</t>
        </is>
      </c>
      <c r="M21" s="1158">
        <f>COUNTIF(C21:L21,"TEDC*")</f>
        <v/>
      </c>
      <c r="N21" s="1158">
        <f>COUNTIF(C21:L21,"อื่น*")</f>
        <v/>
      </c>
      <c r="P21" s="1170" t="inlineStr">
        <is>
          <t>TEDCV926</t>
        </is>
      </c>
      <c r="Q21" s="1171" t="inlineStr">
        <is>
          <t>การบริหารงานก่อสร้าง</t>
        </is>
      </c>
      <c r="R21" s="1170" t="n">
        <v>3</v>
      </c>
      <c r="S21" s="1170" t="n">
        <v>2</v>
      </c>
      <c r="T21" s="1170" t="n">
        <v>0</v>
      </c>
      <c r="U21" s="1171" t="inlineStr">
        <is>
          <t>อ.อลงกต</t>
        </is>
      </c>
      <c r="V21" s="1171" t="inlineStr">
        <is>
          <t>ยธ.1-201</t>
        </is>
      </c>
    </row>
    <row r="22">
      <c r="A22" s="1160" t="n"/>
      <c r="B22" s="1158" t="inlineStr">
        <is>
          <t>พุธ</t>
        </is>
      </c>
      <c r="C22" s="1164" t="inlineStr">
        <is>
          <t>อื่น: ENGCV104</t>
        </is>
      </c>
      <c r="D22" s="1164" t="inlineStr">
        <is>
          <t>อื่น: ENGCV104</t>
        </is>
      </c>
      <c r="E22" s="1159" t="n"/>
      <c r="F22" s="1159" t="n"/>
      <c r="G22" s="1159" t="n"/>
      <c r="H22" s="1159" t="n"/>
      <c r="I22" s="1159" t="n"/>
      <c r="J22" s="1162" t="inlineStr">
        <is>
          <t>กิจกรรม</t>
        </is>
      </c>
      <c r="K22" s="1162" t="inlineStr">
        <is>
          <t>กิจกรรม</t>
        </is>
      </c>
      <c r="L22" s="1159" t="n"/>
      <c r="M22" s="1158">
        <f>COUNTIF(C22:L22,"TEDC*")</f>
        <v/>
      </c>
      <c r="N22" s="1158">
        <f>COUNTIF(C22:L22,"อื่น*")</f>
        <v/>
      </c>
      <c r="P22" s="1170" t="inlineStr">
        <is>
          <t>TEDCV006</t>
        </is>
      </c>
      <c r="Q22" s="1171" t="inlineStr">
        <is>
          <t>การออกแบบโครงสร้างคอนกรีตเสริมเหล็ก</t>
        </is>
      </c>
      <c r="R22" s="1170" t="n">
        <v>3</v>
      </c>
      <c r="S22" s="1170" t="n">
        <v>3</v>
      </c>
      <c r="T22" s="1170" t="n">
        <v>0</v>
      </c>
      <c r="U22" s="1171" t="inlineStr">
        <is>
          <t>อ.เจษฎาพร</t>
        </is>
      </c>
      <c r="V22" s="1171" t="inlineStr">
        <is>
          <t>ยธ.1-202</t>
        </is>
      </c>
    </row>
    <row r="23">
      <c r="A23" s="1160" t="n"/>
      <c r="B23" s="1158" t="inlineStr">
        <is>
          <t>พฤหัสบดี</t>
        </is>
      </c>
      <c r="C23" s="1164" t="inlineStr">
        <is>
          <t>อื่น: ENGCV109</t>
        </is>
      </c>
      <c r="D23" s="1164" t="inlineStr">
        <is>
          <t>อื่น: ENGCV109</t>
        </is>
      </c>
      <c r="E23" s="1159" t="n"/>
      <c r="F23" s="1159" t="n"/>
      <c r="G23" s="1159" t="n"/>
      <c r="H23" s="1159" t="n"/>
      <c r="I23" s="1159" t="n"/>
      <c r="J23" s="1159" t="n"/>
      <c r="K23" s="1159" t="n"/>
      <c r="L23" s="1159" t="n"/>
      <c r="M23" s="1158">
        <f>COUNTIF(C23:L23,"TEDC*")</f>
        <v/>
      </c>
      <c r="N23" s="1158">
        <f>COUNTIF(C23:L23,"อื่น*")</f>
        <v/>
      </c>
    </row>
    <row r="24">
      <c r="A24" s="1163" t="n"/>
      <c r="B24" s="1158" t="inlineStr">
        <is>
          <t>ศุกร์</t>
        </is>
      </c>
      <c r="C24" s="1164" t="inlineStr">
        <is>
          <t>อื่น: ENGCV109</t>
        </is>
      </c>
      <c r="D24" s="1164" t="inlineStr">
        <is>
          <t>อื่น: ENGCV109</t>
        </is>
      </c>
      <c r="E24" s="1164" t="inlineStr">
        <is>
          <t>อื่น: ENGCV109</t>
        </is>
      </c>
      <c r="F24" s="1159" t="n"/>
      <c r="G24" s="1159" t="n"/>
      <c r="H24" s="1164" t="inlineStr">
        <is>
          <t>อื่น: ENGCV401</t>
        </is>
      </c>
      <c r="I24" s="1164" t="inlineStr">
        <is>
          <t>อื่น: ENGCV401</t>
        </is>
      </c>
      <c r="J24" s="1164" t="inlineStr">
        <is>
          <t>อื่น: ENGCV401</t>
        </is>
      </c>
      <c r="K24" s="1159" t="n"/>
      <c r="L24" s="1159" t="n"/>
      <c r="M24" s="1158">
        <f>COUNTIF(C24:L24,"TEDC*")</f>
        <v/>
      </c>
      <c r="N24" s="1158">
        <f>COUNTIF(C24:L24,"อื่น*")</f>
        <v/>
      </c>
      <c r="P24" s="1172" t="inlineStr">
        <is>
          <t>วิชาศึกษาทั่วไป / หลักสูตรอื่น (คาบสีแดง)</t>
        </is>
      </c>
    </row>
    <row r="25">
      <c r="A25" s="1157" t="inlineStr">
        <is>
          <t>LAB Concrete</t>
        </is>
      </c>
      <c r="B25" s="1158" t="inlineStr">
        <is>
          <t>จันทร์</t>
        </is>
      </c>
      <c r="C25" s="1164" t="inlineStr">
        <is>
          <t>อื่น: ENGCV104</t>
        </is>
      </c>
      <c r="D25" s="1164" t="inlineStr">
        <is>
          <t>อื่น: ENGCV104</t>
        </is>
      </c>
      <c r="E25" s="1159" t="n"/>
      <c r="F25" s="1159" t="n"/>
      <c r="G25" s="1159" t="n"/>
      <c r="H25" s="1164" t="inlineStr">
        <is>
          <t>อื่น: ENGCV104</t>
        </is>
      </c>
      <c r="I25" s="1164" t="inlineStr">
        <is>
          <t>อื่น: ENGCV104</t>
        </is>
      </c>
      <c r="J25" s="1164" t="inlineStr">
        <is>
          <t>อื่น: ENGCV104</t>
        </is>
      </c>
      <c r="K25" s="1159" t="n"/>
      <c r="L25" s="1164" t="inlineStr">
        <is>
          <t>อื่น: ENGCV104</t>
        </is>
      </c>
      <c r="M25" s="1158">
        <f>COUNTIF(C25:L25,"TEDC*")</f>
        <v/>
      </c>
      <c r="N25" s="1158">
        <f>COUNTIF(C25:L25,"อื่น*")</f>
        <v/>
      </c>
      <c r="P25" s="1173" t="inlineStr">
        <is>
          <t>ENGCV502</t>
        </is>
      </c>
      <c r="Q25" s="1174" t="inlineStr">
        <is>
          <t>Construction Engineering and Management</t>
        </is>
      </c>
    </row>
    <row r="26">
      <c r="A26" s="1160" t="n"/>
      <c r="B26" s="1158" t="inlineStr">
        <is>
          <t>อังคาร</t>
        </is>
      </c>
      <c r="C26" s="1159" t="n"/>
      <c r="D26" s="1159" t="n"/>
      <c r="E26" s="1159" t="n"/>
      <c r="F26" s="1159" t="n"/>
      <c r="G26" s="1159" t="n"/>
      <c r="H26" s="1159" t="n"/>
      <c r="I26" s="1159" t="n"/>
      <c r="J26" s="1159" t="n"/>
      <c r="K26" s="1159" t="n"/>
      <c r="L26" s="1159" t="n"/>
      <c r="M26" s="1158">
        <f>COUNTIF(C26:L26,"TEDC*")</f>
        <v/>
      </c>
      <c r="N26" s="1158">
        <f>COUNTIF(C26:L26,"อื่น*")</f>
        <v/>
      </c>
      <c r="P26" s="1173" t="inlineStr">
        <is>
          <t>ENGCV501</t>
        </is>
      </c>
      <c r="Q26" s="1174" t="inlineStr">
        <is>
          <t>Construction Cost Estimation and Analysis</t>
        </is>
      </c>
    </row>
    <row r="27">
      <c r="A27" s="1160" t="n"/>
      <c r="B27" s="1158" t="inlineStr">
        <is>
          <t>พุธ</t>
        </is>
      </c>
      <c r="C27" s="1164" t="inlineStr">
        <is>
          <t>อื่น: ENGCV104</t>
        </is>
      </c>
      <c r="D27" s="1164" t="inlineStr">
        <is>
          <t>อื่น: ENGCV104</t>
        </is>
      </c>
      <c r="E27" s="1159" t="n"/>
      <c r="F27" s="1159" t="n"/>
      <c r="G27" s="1164" t="inlineStr">
        <is>
          <t>อื่น: ENGCV104</t>
        </is>
      </c>
      <c r="H27" s="1164" t="inlineStr">
        <is>
          <t>อื่น: ENGCV104</t>
        </is>
      </c>
      <c r="I27" s="1164" t="inlineStr">
        <is>
          <t>อื่น: ENGCV104</t>
        </is>
      </c>
      <c r="J27" s="1162" t="inlineStr">
        <is>
          <t>กิจกรรม</t>
        </is>
      </c>
      <c r="K27" s="1162" t="inlineStr">
        <is>
          <t>กิจกรรม</t>
        </is>
      </c>
      <c r="L27" s="1159" t="n"/>
      <c r="M27" s="1158">
        <f>COUNTIF(C27:L27,"TEDC*")</f>
        <v/>
      </c>
      <c r="N27" s="1158">
        <f>COUNTIF(C27:L27,"อื่น*")</f>
        <v/>
      </c>
      <c r="P27" s="1173" t="inlineStr">
        <is>
          <t>ENGCV104</t>
        </is>
      </c>
      <c r="Q27" s="1174" t="inlineStr">
        <is>
          <t>Concrete Technology</t>
        </is>
      </c>
    </row>
    <row r="28">
      <c r="A28" s="1160" t="n"/>
      <c r="B28" s="1158" t="inlineStr">
        <is>
          <t>พฤหัสบดี</t>
        </is>
      </c>
      <c r="C28" s="1159" t="n"/>
      <c r="D28" s="1159" t="n"/>
      <c r="E28" s="1159" t="n"/>
      <c r="F28" s="1159" t="n"/>
      <c r="G28" s="1159" t="n"/>
      <c r="H28" s="1159" t="n"/>
      <c r="I28" s="1159" t="n"/>
      <c r="J28" s="1159" t="n"/>
      <c r="K28" s="1159" t="n"/>
      <c r="L28" s="1159" t="n"/>
      <c r="M28" s="1158">
        <f>COUNTIF(C28:L28,"TEDC*")</f>
        <v/>
      </c>
      <c r="N28" s="1158">
        <f>COUNTIF(C28:L28,"อื่น*")</f>
        <v/>
      </c>
      <c r="P28" s="1173" t="inlineStr">
        <is>
          <t>ENGCV109</t>
        </is>
      </c>
      <c r="Q28" s="1174" t="inlineStr">
        <is>
          <t>Timber and Steel Design</t>
        </is>
      </c>
    </row>
    <row r="29">
      <c r="A29" s="1163" t="n"/>
      <c r="B29" s="1158" t="inlineStr">
        <is>
          <t>ศุกร์</t>
        </is>
      </c>
      <c r="C29" s="1159" t="n"/>
      <c r="D29" s="1159" t="n"/>
      <c r="E29" s="1159" t="n"/>
      <c r="F29" s="1159" t="n"/>
      <c r="G29" s="1159" t="n"/>
      <c r="H29" s="1159" t="n"/>
      <c r="I29" s="1159" t="n"/>
      <c r="J29" s="1161" t="inlineStr">
        <is>
          <t>TEDCV009 ปี2</t>
        </is>
      </c>
      <c r="K29" s="1161" t="inlineStr">
        <is>
          <t>TEDCV009 ปี2</t>
        </is>
      </c>
      <c r="L29" s="1161" t="inlineStr">
        <is>
          <t>TEDCV009 ปี2</t>
        </is>
      </c>
      <c r="M29" s="1158">
        <f>COUNTIF(C29:L29,"TEDC*")</f>
        <v/>
      </c>
      <c r="N29" s="1158">
        <f>COUNTIF(C29:L29,"อื่น*")</f>
        <v/>
      </c>
      <c r="P29" s="1173" t="inlineStr">
        <is>
          <t>ENGCV401</t>
        </is>
      </c>
      <c r="Q29" s="1174" t="inlineStr">
        <is>
          <t>Highway Engineering</t>
        </is>
      </c>
    </row>
    <row r="30">
      <c r="A30" s="1157" t="inlineStr">
        <is>
          <t>LAB Highway</t>
        </is>
      </c>
      <c r="B30" s="1158" t="inlineStr">
        <is>
          <t>จันทร์</t>
        </is>
      </c>
      <c r="C30" s="1159" t="n"/>
      <c r="D30" s="1159" t="n"/>
      <c r="E30" s="1159" t="n"/>
      <c r="F30" s="1159" t="n"/>
      <c r="G30" s="1159" t="n"/>
      <c r="H30" s="1159" t="n"/>
      <c r="I30" s="1159" t="n"/>
      <c r="J30" s="1159" t="n"/>
      <c r="K30" s="1159" t="n"/>
      <c r="L30" s="1159" t="n"/>
      <c r="M30" s="1158">
        <f>COUNTIF(C30:L30,"TEDC*")</f>
        <v/>
      </c>
      <c r="N30" s="1158">
        <f>COUNTIF(C30:L30,"อื่น*")</f>
        <v/>
      </c>
      <c r="P30" s="1173" t="inlineStr">
        <is>
          <t>ENGCV402</t>
        </is>
      </c>
      <c r="Q30" s="1174" t="inlineStr">
        <is>
          <t>Highway Materials Testing</t>
        </is>
      </c>
    </row>
    <row r="31">
      <c r="A31" s="1160" t="n"/>
      <c r="B31" s="1158" t="inlineStr">
        <is>
          <t>อังคาร</t>
        </is>
      </c>
      <c r="C31" s="1159" t="n"/>
      <c r="D31" s="1159" t="n"/>
      <c r="E31" s="1159" t="n"/>
      <c r="F31" s="1159" t="n"/>
      <c r="G31" s="1159" t="n"/>
      <c r="H31" s="1159" t="n"/>
      <c r="I31" s="1159" t="n"/>
      <c r="J31" s="1159" t="n"/>
      <c r="K31" s="1159" t="n"/>
      <c r="L31" s="1159" t="n"/>
      <c r="M31" s="1158">
        <f>COUNTIF(C31:L31,"TEDC*")</f>
        <v/>
      </c>
      <c r="N31" s="1158">
        <f>COUNTIF(C31:L31,"อื่น*")</f>
        <v/>
      </c>
      <c r="P31" s="1173" t="inlineStr">
        <is>
          <t>ENGCV202</t>
        </is>
      </c>
      <c r="Q31" s="1174" t="inlineStr">
        <is>
          <t>(ไม่มีชื่อวิชาในไฟล์ต้นทาง)</t>
        </is>
      </c>
    </row>
    <row r="32">
      <c r="A32" s="1160" t="n"/>
      <c r="B32" s="1158" t="inlineStr">
        <is>
          <t>พุธ</t>
        </is>
      </c>
      <c r="C32" s="1159" t="n"/>
      <c r="D32" s="1159" t="n"/>
      <c r="E32" s="1161" t="inlineStr">
        <is>
          <t>TEDCV027 ปี3</t>
        </is>
      </c>
      <c r="F32" s="1161" t="inlineStr">
        <is>
          <t>TEDCV027 ปี3</t>
        </is>
      </c>
      <c r="G32" s="1159" t="n"/>
      <c r="H32" s="1161" t="inlineStr">
        <is>
          <t>TEDCV027 ปี3</t>
        </is>
      </c>
      <c r="I32" s="1159" t="n"/>
      <c r="J32" s="1162" t="inlineStr">
        <is>
          <t>กิจกรรม</t>
        </is>
      </c>
      <c r="K32" s="1162" t="inlineStr">
        <is>
          <t>กิจกรรม</t>
        </is>
      </c>
      <c r="L32" s="1159" t="n"/>
      <c r="M32" s="1158">
        <f>COUNTIF(C32:L32,"TEDC*")</f>
        <v/>
      </c>
      <c r="N32" s="1158">
        <f>COUNTIF(C32:L32,"อื่น*")</f>
        <v/>
      </c>
      <c r="P32" s="1173" t="inlineStr">
        <is>
          <t>ENGCV801</t>
        </is>
      </c>
      <c r="Q32" s="1174" t="inlineStr">
        <is>
          <t>Civil Engineering Workshop</t>
        </is>
      </c>
    </row>
    <row r="33">
      <c r="A33" s="1160" t="n"/>
      <c r="B33" s="1158" t="inlineStr">
        <is>
          <t>พฤหัสบดี</t>
        </is>
      </c>
      <c r="C33" s="1164" t="inlineStr">
        <is>
          <t>อื่น: ENGCV402</t>
        </is>
      </c>
      <c r="D33" s="1164" t="inlineStr">
        <is>
          <t>อื่น: ENGCV402</t>
        </is>
      </c>
      <c r="E33" s="1164" t="inlineStr">
        <is>
          <t>อื่น: ENGCV402</t>
        </is>
      </c>
      <c r="F33" s="1159" t="n"/>
      <c r="G33" s="1159" t="n"/>
      <c r="H33" s="1159" t="n"/>
      <c r="I33" s="1159" t="n"/>
      <c r="J33" s="1159" t="n"/>
      <c r="K33" s="1159" t="n"/>
      <c r="L33" s="1159" t="n"/>
      <c r="M33" s="1158">
        <f>COUNTIF(C33:L33,"TEDC*")</f>
        <v/>
      </c>
      <c r="N33" s="1158">
        <f>COUNTIF(C33:L33,"อื่น*")</f>
        <v/>
      </c>
      <c r="P33" s="1173" t="inlineStr">
        <is>
          <t>ENGCV303</t>
        </is>
      </c>
      <c r="Q33" s="1174" t="inlineStr">
        <is>
          <t>Route Surveying</t>
        </is>
      </c>
    </row>
    <row r="34">
      <c r="A34" s="1163" t="n"/>
      <c r="B34" s="1158" t="inlineStr">
        <is>
          <t>ศุกร์</t>
        </is>
      </c>
      <c r="C34" s="1159" t="n"/>
      <c r="D34" s="1159" t="n"/>
      <c r="E34" s="1159" t="n"/>
      <c r="F34" s="1159" t="n"/>
      <c r="G34" s="1159" t="n"/>
      <c r="H34" s="1159" t="n"/>
      <c r="I34" s="1159" t="n"/>
      <c r="J34" s="1159" t="n"/>
      <c r="K34" s="1159" t="n"/>
      <c r="L34" s="1159" t="n"/>
      <c r="M34" s="1158">
        <f>COUNTIF(C34:L34,"TEDC*")</f>
        <v/>
      </c>
      <c r="N34" s="1158">
        <f>COUNTIF(C34:L34,"อื่น*")</f>
        <v/>
      </c>
      <c r="P34" s="1173" t="inlineStr">
        <is>
          <t>ENGCV301</t>
        </is>
      </c>
      <c r="Q34" s="1174" t="inlineStr">
        <is>
          <t>(ไม่มีชื่อวิชาในไฟล์ต้นทาง)</t>
        </is>
      </c>
    </row>
    <row r="35">
      <c r="A35" s="1157" t="inlineStr">
        <is>
          <t>LAB Soil</t>
        </is>
      </c>
      <c r="B35" s="1158" t="inlineStr">
        <is>
          <t>จันทร์</t>
        </is>
      </c>
      <c r="C35" s="1159" t="n"/>
      <c r="D35" s="1159" t="n"/>
      <c r="E35" s="1159" t="n"/>
      <c r="F35" s="1159" t="n"/>
      <c r="G35" s="1159" t="n"/>
      <c r="H35" s="1159" t="n"/>
      <c r="I35" s="1159" t="n"/>
      <c r="J35" s="1159" t="n"/>
      <c r="K35" s="1159" t="n"/>
      <c r="L35" s="1159" t="n"/>
      <c r="M35" s="1158">
        <f>COUNTIF(C35:L35,"TEDC*")</f>
        <v/>
      </c>
      <c r="N35" s="1158">
        <f>COUNTIF(C35:L35,"อื่น*")</f>
        <v/>
      </c>
      <c r="P35" s="1173" t="inlineStr">
        <is>
          <t>ENGEV106</t>
        </is>
      </c>
      <c r="Q35" s="1174" t="inlineStr">
        <is>
          <t>Surveying Practice for Environmental Engineers</t>
        </is>
      </c>
    </row>
    <row r="36">
      <c r="A36" s="1160" t="n"/>
      <c r="B36" s="1158" t="inlineStr">
        <is>
          <t>อังคาร</t>
        </is>
      </c>
      <c r="C36" s="1159" t="n"/>
      <c r="D36" s="1159" t="n"/>
      <c r="E36" s="1159" t="n"/>
      <c r="F36" s="1159" t="n"/>
      <c r="G36" s="1159" t="n"/>
      <c r="H36" s="1159" t="n"/>
      <c r="I36" s="1159" t="n"/>
      <c r="J36" s="1159" t="n"/>
      <c r="K36" s="1159" t="n"/>
      <c r="L36" s="1159" t="n"/>
      <c r="M36" s="1158">
        <f>COUNTIF(C36:L36,"TEDC*")</f>
        <v/>
      </c>
      <c r="N36" s="1158">
        <f>COUNTIF(C36:L36,"อื่น*")</f>
        <v/>
      </c>
      <c r="P36" s="1173" t="inlineStr">
        <is>
          <t>ENGCV602</t>
        </is>
      </c>
      <c r="Q36" s="1174" t="inlineStr">
        <is>
          <t>Hydraulic Laboratory</t>
        </is>
      </c>
    </row>
    <row r="37">
      <c r="A37" s="1160" t="n"/>
      <c r="B37" s="1158" t="inlineStr">
        <is>
          <t>พุธ</t>
        </is>
      </c>
      <c r="C37" s="1159" t="n"/>
      <c r="D37" s="1159" t="n"/>
      <c r="E37" s="1159" t="n"/>
      <c r="F37" s="1159" t="n"/>
      <c r="G37" s="1164" t="inlineStr">
        <is>
          <t>อื่น: ENGCV202</t>
        </is>
      </c>
      <c r="H37" s="1164" t="inlineStr">
        <is>
          <t>อื่น: ENGCV202</t>
        </is>
      </c>
      <c r="I37" s="1164" t="inlineStr">
        <is>
          <t>อื่น: ENGCV202</t>
        </is>
      </c>
      <c r="J37" s="1162" t="inlineStr">
        <is>
          <t>กิจกรรม</t>
        </is>
      </c>
      <c r="K37" s="1162" t="inlineStr">
        <is>
          <t>กิจกรรม</t>
        </is>
      </c>
      <c r="L37" s="1159" t="n"/>
      <c r="M37" s="1158">
        <f>COUNTIF(C37:L37,"TEDC*")</f>
        <v/>
      </c>
      <c r="N37" s="1158">
        <f>COUNTIF(C37:L37,"อื่น*")</f>
        <v/>
      </c>
    </row>
    <row r="38">
      <c r="A38" s="1160" t="n"/>
      <c r="B38" s="1158" t="inlineStr">
        <is>
          <t>พฤหัสบดี</t>
        </is>
      </c>
      <c r="C38" s="1159" t="n"/>
      <c r="D38" s="1159" t="n"/>
      <c r="E38" s="1159" t="n"/>
      <c r="F38" s="1159" t="n"/>
      <c r="G38" s="1159" t="n"/>
      <c r="H38" s="1159" t="n"/>
      <c r="I38" s="1159" t="n"/>
      <c r="J38" s="1159" t="n"/>
      <c r="K38" s="1159" t="n"/>
      <c r="L38" s="1159" t="n"/>
      <c r="M38" s="1158">
        <f>COUNTIF(C38:L38,"TEDC*")</f>
        <v/>
      </c>
      <c r="N38" s="1158">
        <f>COUNTIF(C38:L38,"อื่น*")</f>
        <v/>
      </c>
    </row>
    <row r="39">
      <c r="A39" s="1163" t="n"/>
      <c r="B39" s="1158" t="inlineStr">
        <is>
          <t>ศุกร์</t>
        </is>
      </c>
      <c r="C39" s="1159" t="n"/>
      <c r="D39" s="1159" t="n"/>
      <c r="E39" s="1159" t="n"/>
      <c r="F39" s="1159" t="n"/>
      <c r="G39" s="1159" t="n"/>
      <c r="H39" s="1159" t="n"/>
      <c r="I39" s="1159" t="n"/>
      <c r="J39" s="1159" t="n"/>
      <c r="K39" s="1159" t="n"/>
      <c r="L39" s="1159" t="n"/>
      <c r="M39" s="1158">
        <f>COUNTIF(C39:L39,"TEDC*")</f>
        <v/>
      </c>
      <c r="N39" s="1158">
        <f>COUNTIF(C39:L39,"อื่น*")</f>
        <v/>
      </c>
    </row>
    <row r="40">
      <c r="A40" s="1157" t="inlineStr">
        <is>
          <t>LAB Workshop</t>
        </is>
      </c>
      <c r="B40" s="1158" t="inlineStr">
        <is>
          <t>จันทร์</t>
        </is>
      </c>
      <c r="C40" s="1159" t="n"/>
      <c r="D40" s="1159" t="n"/>
      <c r="E40" s="1159" t="n"/>
      <c r="F40" s="1159" t="n"/>
      <c r="G40" s="1159" t="n"/>
      <c r="H40" s="1159" t="n"/>
      <c r="I40" s="1159" t="n"/>
      <c r="J40" s="1159" t="n"/>
      <c r="K40" s="1164" t="inlineStr">
        <is>
          <t>อื่น: ENGCV801</t>
        </is>
      </c>
      <c r="L40" s="1164" t="inlineStr">
        <is>
          <t>อื่น: ENGCV801</t>
        </is>
      </c>
      <c r="M40" s="1158">
        <f>COUNTIF(C40:L40,"TEDC*")</f>
        <v/>
      </c>
      <c r="N40" s="1158">
        <f>COUNTIF(C40:L40,"อื่น*")</f>
        <v/>
      </c>
    </row>
    <row r="41">
      <c r="A41" s="1160" t="n"/>
      <c r="B41" s="1158" t="inlineStr">
        <is>
          <t>อังคาร</t>
        </is>
      </c>
      <c r="C41" s="1161" t="inlineStr">
        <is>
          <t>TEDCV931 ปี1</t>
        </is>
      </c>
      <c r="D41" s="1161" t="inlineStr">
        <is>
          <t>TEDCV931 ปี1</t>
        </is>
      </c>
      <c r="E41" s="1161" t="inlineStr">
        <is>
          <t>TEDCV931 ปี1</t>
        </is>
      </c>
      <c r="F41" s="1161" t="inlineStr">
        <is>
          <t>TEDCV931 ปี1</t>
        </is>
      </c>
      <c r="G41" s="1159" t="n"/>
      <c r="H41" s="1161" t="inlineStr">
        <is>
          <t>TEDCV931 ปี1</t>
        </is>
      </c>
      <c r="I41" s="1161" t="inlineStr">
        <is>
          <t>TEDCV931 ปี1</t>
        </is>
      </c>
      <c r="J41" s="1161" t="inlineStr">
        <is>
          <t>TEDCV931 ปี1</t>
        </is>
      </c>
      <c r="K41" s="1164" t="inlineStr">
        <is>
          <t>อื่น: ENGCV801</t>
        </is>
      </c>
      <c r="L41" s="1164" t="inlineStr">
        <is>
          <t>อื่น: ENGCV801</t>
        </is>
      </c>
      <c r="M41" s="1158">
        <f>COUNTIF(C41:L41,"TEDC*")</f>
        <v/>
      </c>
      <c r="N41" s="1158">
        <f>COUNTIF(C41:L41,"อื่น*")</f>
        <v/>
      </c>
    </row>
    <row r="42">
      <c r="A42" s="1160" t="n"/>
      <c r="B42" s="1158" t="inlineStr">
        <is>
          <t>พุธ</t>
        </is>
      </c>
      <c r="C42" s="1159" t="n"/>
      <c r="D42" s="1159" t="n"/>
      <c r="E42" s="1159" t="n"/>
      <c r="F42" s="1159" t="n"/>
      <c r="G42" s="1159" t="n"/>
      <c r="H42" s="1159" t="n"/>
      <c r="I42" s="1159" t="n"/>
      <c r="J42" s="1162" t="inlineStr">
        <is>
          <t>กิจกรรม</t>
        </is>
      </c>
      <c r="K42" s="1162" t="inlineStr">
        <is>
          <t>กิจกรรม</t>
        </is>
      </c>
      <c r="L42" s="1159" t="n"/>
      <c r="M42" s="1158">
        <f>COUNTIF(C42:L42,"TEDC*")</f>
        <v/>
      </c>
      <c r="N42" s="1158">
        <f>COUNTIF(C42:L42,"อื่น*")</f>
        <v/>
      </c>
    </row>
    <row r="43">
      <c r="A43" s="1160" t="n"/>
      <c r="B43" s="1158" t="inlineStr">
        <is>
          <t>พฤหัสบดี</t>
        </is>
      </c>
      <c r="C43" s="1159" t="n"/>
      <c r="D43" s="1159" t="n"/>
      <c r="E43" s="1159" t="n"/>
      <c r="F43" s="1159" t="n"/>
      <c r="G43" s="1159" t="n"/>
      <c r="H43" s="1159" t="n"/>
      <c r="I43" s="1159" t="n"/>
      <c r="J43" s="1159" t="n"/>
      <c r="K43" s="1159" t="n"/>
      <c r="L43" s="1159" t="n"/>
      <c r="M43" s="1158">
        <f>COUNTIF(C43:L43,"TEDC*")</f>
        <v/>
      </c>
      <c r="N43" s="1158">
        <f>COUNTIF(C43:L43,"อื่น*")</f>
        <v/>
      </c>
    </row>
    <row r="44">
      <c r="A44" s="1163" t="n"/>
      <c r="B44" s="1158" t="inlineStr">
        <is>
          <t>ศุกร์</t>
        </is>
      </c>
      <c r="C44" s="1164" t="inlineStr">
        <is>
          <t>อื่น: ENGCV801</t>
        </is>
      </c>
      <c r="D44" s="1164" t="inlineStr">
        <is>
          <t>อื่น: ENGCV801</t>
        </is>
      </c>
      <c r="E44" s="1164" t="inlineStr">
        <is>
          <t>อื่น: ENGCV801</t>
        </is>
      </c>
      <c r="F44" s="1164" t="inlineStr">
        <is>
          <t>อื่น: ENGCV801</t>
        </is>
      </c>
      <c r="G44" s="1159" t="n"/>
      <c r="H44" s="1164" t="inlineStr">
        <is>
          <t>อื่น: ENGCV801</t>
        </is>
      </c>
      <c r="I44" s="1164" t="inlineStr">
        <is>
          <t>อื่น: ENGCV801</t>
        </is>
      </c>
      <c r="J44" s="1164" t="inlineStr">
        <is>
          <t>อื่น: ENGCV801</t>
        </is>
      </c>
      <c r="K44" s="1159" t="n"/>
      <c r="L44" s="1159" t="n"/>
      <c r="M44" s="1158">
        <f>COUNTIF(C44:L44,"TEDC*")</f>
        <v/>
      </c>
      <c r="N44" s="1158">
        <f>COUNTIF(C44:L44,"อื่น*")</f>
        <v/>
      </c>
    </row>
    <row r="45">
      <c r="A45" s="1157" t="inlineStr">
        <is>
          <t>LAB Surveying</t>
        </is>
      </c>
      <c r="B45" s="1158" t="inlineStr">
        <is>
          <t>จันทร์</t>
        </is>
      </c>
      <c r="C45" s="1159" t="n"/>
      <c r="D45" s="1159" t="n"/>
      <c r="E45" s="1159" t="n"/>
      <c r="F45" s="1159" t="n"/>
      <c r="G45" s="1159" t="n"/>
      <c r="H45" s="1159" t="n"/>
      <c r="I45" s="1159" t="n"/>
      <c r="J45" s="1159" t="n"/>
      <c r="K45" s="1159" t="n"/>
      <c r="L45" s="1159" t="n"/>
      <c r="M45" s="1158">
        <f>COUNTIF(C45:L45,"TEDC*")</f>
        <v/>
      </c>
      <c r="N45" s="1158">
        <f>COUNTIF(C45:L45,"อื่น*")</f>
        <v/>
      </c>
    </row>
    <row r="46">
      <c r="A46" s="1160" t="n"/>
      <c r="B46" s="1158" t="inlineStr">
        <is>
          <t>อังคาร</t>
        </is>
      </c>
      <c r="C46" s="1164" t="inlineStr">
        <is>
          <t>อื่น: ENGCV303</t>
        </is>
      </c>
      <c r="D46" s="1164" t="inlineStr">
        <is>
          <t>อื่น: ENGCV303</t>
        </is>
      </c>
      <c r="E46" s="1164" t="inlineStr">
        <is>
          <t>อื่น: ENGCV303</t>
        </is>
      </c>
      <c r="F46" s="1164" t="inlineStr">
        <is>
          <t>อื่น: ENGCV303</t>
        </is>
      </c>
      <c r="G46" s="1164" t="inlineStr">
        <is>
          <t>อื่น: ENGCV303</t>
        </is>
      </c>
      <c r="H46" s="1159" t="n"/>
      <c r="I46" s="1159" t="n"/>
      <c r="J46" s="1159" t="n"/>
      <c r="K46" s="1159" t="n"/>
      <c r="L46" s="1159" t="n"/>
      <c r="M46" s="1158">
        <f>COUNTIF(C46:L46,"TEDC*")</f>
        <v/>
      </c>
      <c r="N46" s="1158">
        <f>COUNTIF(C46:L46,"อื่น*")</f>
        <v/>
      </c>
    </row>
    <row r="47">
      <c r="A47" s="1160" t="n"/>
      <c r="B47" s="1158" t="inlineStr">
        <is>
          <t>พุธ</t>
        </is>
      </c>
      <c r="C47" s="1159" t="n"/>
      <c r="D47" s="1159" t="n"/>
      <c r="E47" s="1159" t="n"/>
      <c r="F47" s="1159" t="n"/>
      <c r="G47" s="1159" t="n"/>
      <c r="H47" s="1159" t="n"/>
      <c r="I47" s="1159" t="n"/>
      <c r="J47" s="1162" t="inlineStr">
        <is>
          <t>กิจกรรม</t>
        </is>
      </c>
      <c r="K47" s="1162" t="inlineStr">
        <is>
          <t>กิจกรรม</t>
        </is>
      </c>
      <c r="L47" s="1159" t="n"/>
      <c r="M47" s="1158">
        <f>COUNTIF(C47:L47,"TEDC*")</f>
        <v/>
      </c>
      <c r="N47" s="1158">
        <f>COUNTIF(C47:L47,"อื่น*")</f>
        <v/>
      </c>
    </row>
    <row r="48">
      <c r="A48" s="1160" t="n"/>
      <c r="B48" s="1158" t="inlineStr">
        <is>
          <t>พฤหัสบดี</t>
        </is>
      </c>
      <c r="C48" s="1159" t="n"/>
      <c r="D48" s="1159" t="n"/>
      <c r="E48" s="1159" t="n"/>
      <c r="F48" s="1159" t="n"/>
      <c r="G48" s="1159" t="n"/>
      <c r="H48" s="1159" t="n"/>
      <c r="I48" s="1159" t="n"/>
      <c r="J48" s="1159" t="n"/>
      <c r="K48" s="1159" t="n"/>
      <c r="L48" s="1159" t="n"/>
      <c r="M48" s="1158">
        <f>COUNTIF(C48:L48,"TEDC*")</f>
        <v/>
      </c>
      <c r="N48" s="1158">
        <f>COUNTIF(C48:L48,"อื่น*")</f>
        <v/>
      </c>
    </row>
    <row r="49">
      <c r="A49" s="1163" t="n"/>
      <c r="B49" s="1158" t="inlineStr">
        <is>
          <t>ศุกร์</t>
        </is>
      </c>
      <c r="C49" s="1164" t="inlineStr">
        <is>
          <t>อื่น: ENGCV301</t>
        </is>
      </c>
      <c r="D49" s="1164" t="inlineStr">
        <is>
          <t>อื่น: ENGCV301</t>
        </is>
      </c>
      <c r="E49" s="1164" t="inlineStr">
        <is>
          <t>อื่น: ENGCV301</t>
        </is>
      </c>
      <c r="F49" s="1159" t="n"/>
      <c r="G49" s="1159" t="n"/>
      <c r="H49" s="1164" t="inlineStr">
        <is>
          <t>อื่น: ENGEV106</t>
        </is>
      </c>
      <c r="I49" s="1164" t="inlineStr">
        <is>
          <t>อื่น: ENGEV106</t>
        </is>
      </c>
      <c r="J49" s="1164" t="inlineStr">
        <is>
          <t>อื่น: ENGEV106</t>
        </is>
      </c>
      <c r="K49" s="1159" t="n"/>
      <c r="L49" s="1159" t="n"/>
      <c r="M49" s="1158">
        <f>COUNTIF(C49:L49,"TEDC*")</f>
        <v/>
      </c>
      <c r="N49" s="1158">
        <f>COUNTIF(C49:L49,"อื่น*")</f>
        <v/>
      </c>
    </row>
    <row r="50">
      <c r="A50" s="1157" t="inlineStr">
        <is>
          <t>LAB Hydraulic</t>
        </is>
      </c>
      <c r="B50" s="1158" t="inlineStr">
        <is>
          <t>จันทร์</t>
        </is>
      </c>
      <c r="C50" s="1159" t="n"/>
      <c r="D50" s="1159" t="n"/>
      <c r="E50" s="1159" t="n"/>
      <c r="F50" s="1159" t="n"/>
      <c r="G50" s="1159" t="n"/>
      <c r="H50" s="1159" t="n"/>
      <c r="I50" s="1159" t="n"/>
      <c r="J50" s="1161" t="inlineStr">
        <is>
          <t>TEDCV033 ปี3</t>
        </is>
      </c>
      <c r="K50" s="1161" t="inlineStr">
        <is>
          <t>TEDCV033 ปี3</t>
        </is>
      </c>
      <c r="L50" s="1161" t="inlineStr">
        <is>
          <t>TEDCV033 ปี3</t>
        </is>
      </c>
      <c r="M50" s="1158">
        <f>COUNTIF(C50:L50,"TEDC*")</f>
        <v/>
      </c>
      <c r="N50" s="1158">
        <f>COUNTIF(C50:L50,"อื่น*")</f>
        <v/>
      </c>
    </row>
    <row r="51">
      <c r="A51" s="1160" t="n"/>
      <c r="B51" s="1158" t="inlineStr">
        <is>
          <t>อังคาร</t>
        </is>
      </c>
      <c r="C51" s="1164" t="inlineStr">
        <is>
          <t>อื่น: ENGCV602</t>
        </is>
      </c>
      <c r="D51" s="1164" t="inlineStr">
        <is>
          <t>อื่น: ENGCV602</t>
        </is>
      </c>
      <c r="E51" s="1164" t="inlineStr">
        <is>
          <t>อื่น: ENGCV602</t>
        </is>
      </c>
      <c r="F51" s="1159" t="n"/>
      <c r="G51" s="1159" t="n"/>
      <c r="H51" s="1159" t="n"/>
      <c r="I51" s="1159" t="n"/>
      <c r="J51" s="1159" t="n"/>
      <c r="K51" s="1159" t="n"/>
      <c r="L51" s="1159" t="n"/>
      <c r="M51" s="1158">
        <f>COUNTIF(C51:L51,"TEDC*")</f>
        <v/>
      </c>
      <c r="N51" s="1158">
        <f>COUNTIF(C51:L51,"อื่น*")</f>
        <v/>
      </c>
    </row>
    <row r="52">
      <c r="A52" s="1160" t="n"/>
      <c r="B52" s="1158" t="inlineStr">
        <is>
          <t>พุธ</t>
        </is>
      </c>
      <c r="C52" s="1164" t="inlineStr">
        <is>
          <t>อื่น: ENGCV602</t>
        </is>
      </c>
      <c r="D52" s="1164" t="inlineStr">
        <is>
          <t>อื่น: ENGCV602</t>
        </is>
      </c>
      <c r="E52" s="1164" t="inlineStr">
        <is>
          <t>อื่น: ENGCV602</t>
        </is>
      </c>
      <c r="F52" s="1159" t="n"/>
      <c r="G52" s="1159" t="n"/>
      <c r="H52" s="1159" t="n"/>
      <c r="I52" s="1159" t="n"/>
      <c r="J52" s="1162" t="inlineStr">
        <is>
          <t>กิจกรรม</t>
        </is>
      </c>
      <c r="K52" s="1162" t="inlineStr">
        <is>
          <t>กิจกรรม</t>
        </is>
      </c>
      <c r="L52" s="1159" t="n"/>
      <c r="M52" s="1158">
        <f>COUNTIF(C52:L52,"TEDC*")</f>
        <v/>
      </c>
      <c r="N52" s="1158">
        <f>COUNTIF(C52:L52,"อื่น*")</f>
        <v/>
      </c>
    </row>
    <row r="53">
      <c r="A53" s="1160" t="n"/>
      <c r="B53" s="1158" t="inlineStr">
        <is>
          <t>พฤหัสบดี</t>
        </is>
      </c>
      <c r="C53" s="1164" t="inlineStr">
        <is>
          <t>อื่น: ENGCV602</t>
        </is>
      </c>
      <c r="D53" s="1164" t="inlineStr">
        <is>
          <t>อื่น: ENGCV602</t>
        </is>
      </c>
      <c r="E53" s="1164" t="inlineStr">
        <is>
          <t>อื่น: ENGCV602</t>
        </is>
      </c>
      <c r="F53" s="1159" t="n"/>
      <c r="G53" s="1159" t="n"/>
      <c r="H53" s="1159" t="n"/>
      <c r="I53" s="1159" t="n"/>
      <c r="J53" s="1159" t="n"/>
      <c r="K53" s="1159" t="n"/>
      <c r="L53" s="1159" t="n"/>
      <c r="M53" s="1158">
        <f>COUNTIF(C53:L53,"TEDC*")</f>
        <v/>
      </c>
      <c r="N53" s="1158">
        <f>COUNTIF(C53:L53,"อื่น*")</f>
        <v/>
      </c>
    </row>
    <row r="54">
      <c r="A54" s="1163" t="n"/>
      <c r="B54" s="1158" t="inlineStr">
        <is>
          <t>ศุกร์</t>
        </is>
      </c>
      <c r="C54" s="1159" t="n"/>
      <c r="D54" s="1159" t="n"/>
      <c r="E54" s="1159" t="n"/>
      <c r="F54" s="1159" t="n"/>
      <c r="G54" s="1159" t="n"/>
      <c r="H54" s="1159" t="n"/>
      <c r="I54" s="1159" t="n"/>
      <c r="J54" s="1159" t="n"/>
      <c r="K54" s="1159" t="n"/>
      <c r="L54" s="1159" t="n"/>
      <c r="M54" s="1158">
        <f>COUNTIF(C54:L54,"TEDC*")</f>
        <v/>
      </c>
      <c r="N54" s="1158">
        <f>COUNTIF(C54:L54,"อื่น*")</f>
        <v/>
      </c>
    </row>
    <row r="55"/>
    <row r="56">
      <c r="A56" s="1165" t="inlineStr">
        <is>
          <t>สรุปชั่วโมงใช้ห้องต่อสัปดาห์</t>
        </is>
      </c>
    </row>
    <row r="57">
      <c r="A57" s="1166" t="inlineStr">
        <is>
          <t>ห้อง</t>
        </is>
      </c>
      <c r="B57" s="1166" t="inlineStr">
        <is>
          <t>ค.อ.บ.ยธ. (ชม.)</t>
        </is>
      </c>
      <c r="C57" s="1166" t="inlineStr">
        <is>
          <t>หลักสูตรอื่น (ชม.)</t>
        </is>
      </c>
      <c r="D57" s="1166" t="inlineStr">
        <is>
          <t>รวมใช้ (ชม.)</t>
        </is>
      </c>
      <c r="E57" s="1166" t="inlineStr">
        <is>
          <t>ว่าง (ชม. จาก 50)</t>
        </is>
      </c>
    </row>
    <row r="58">
      <c r="A58" s="1167" t="inlineStr">
        <is>
          <t>ยธ.1-102</t>
        </is>
      </c>
      <c r="B58" s="1167">
        <f>SUM(M5:M9)</f>
        <v/>
      </c>
      <c r="C58" s="1167">
        <f>SUM(N5:N9)</f>
        <v/>
      </c>
      <c r="D58" s="1167">
        <f>B58+C58</f>
        <v/>
      </c>
      <c r="E58" s="1167">
        <f>50-D58</f>
        <v/>
      </c>
    </row>
    <row r="59">
      <c r="A59" s="1167" t="inlineStr">
        <is>
          <t>ยธ.1-201</t>
        </is>
      </c>
      <c r="B59" s="1167">
        <f>SUM(M10:M14)</f>
        <v/>
      </c>
      <c r="C59" s="1167">
        <f>SUM(N10:N14)</f>
        <v/>
      </c>
      <c r="D59" s="1167">
        <f>B59+C59</f>
        <v/>
      </c>
      <c r="E59" s="1167">
        <f>50-D59</f>
        <v/>
      </c>
    </row>
    <row r="60">
      <c r="A60" s="1167" t="inlineStr">
        <is>
          <t>ยธ.1-202</t>
        </is>
      </c>
      <c r="B60" s="1167">
        <f>SUM(M15:M19)</f>
        <v/>
      </c>
      <c r="C60" s="1167">
        <f>SUM(N15:N19)</f>
        <v/>
      </c>
      <c r="D60" s="1167">
        <f>B60+C60</f>
        <v/>
      </c>
      <c r="E60" s="1167">
        <f>50-D60</f>
        <v/>
      </c>
    </row>
    <row r="61">
      <c r="A61" s="1167" t="inlineStr">
        <is>
          <t>ยธ.4-203</t>
        </is>
      </c>
      <c r="B61" s="1167">
        <f>SUM(M20:M24)</f>
        <v/>
      </c>
      <c r="C61" s="1167">
        <f>SUM(N20:N24)</f>
        <v/>
      </c>
      <c r="D61" s="1167">
        <f>B61+C61</f>
        <v/>
      </c>
      <c r="E61" s="1167">
        <f>50-D61</f>
        <v/>
      </c>
    </row>
    <row r="62">
      <c r="A62" s="1167" t="inlineStr">
        <is>
          <t>LAB Concrete</t>
        </is>
      </c>
      <c r="B62" s="1167">
        <f>SUM(M25:M29)</f>
        <v/>
      </c>
      <c r="C62" s="1167">
        <f>SUM(N25:N29)</f>
        <v/>
      </c>
      <c r="D62" s="1167">
        <f>B62+C62</f>
        <v/>
      </c>
      <c r="E62" s="1167">
        <f>50-D62</f>
        <v/>
      </c>
    </row>
    <row r="63">
      <c r="A63" s="1167" t="inlineStr">
        <is>
          <t>LAB Highway</t>
        </is>
      </c>
      <c r="B63" s="1167">
        <f>SUM(M30:M34)</f>
        <v/>
      </c>
      <c r="C63" s="1167">
        <f>SUM(N30:N34)</f>
        <v/>
      </c>
      <c r="D63" s="1167">
        <f>B63+C63</f>
        <v/>
      </c>
      <c r="E63" s="1167">
        <f>50-D63</f>
        <v/>
      </c>
    </row>
    <row r="64">
      <c r="A64" s="1167" t="inlineStr">
        <is>
          <t>LAB Soil</t>
        </is>
      </c>
      <c r="B64" s="1167">
        <f>SUM(M35:M39)</f>
        <v/>
      </c>
      <c r="C64" s="1167">
        <f>SUM(N35:N39)</f>
        <v/>
      </c>
      <c r="D64" s="1167">
        <f>B64+C64</f>
        <v/>
      </c>
      <c r="E64" s="1167">
        <f>50-D64</f>
        <v/>
      </c>
    </row>
    <row r="65">
      <c r="A65" s="1167" t="inlineStr">
        <is>
          <t>LAB Workshop</t>
        </is>
      </c>
      <c r="B65" s="1167">
        <f>SUM(M40:M44)</f>
        <v/>
      </c>
      <c r="C65" s="1167">
        <f>SUM(N40:N44)</f>
        <v/>
      </c>
      <c r="D65" s="1167">
        <f>B65+C65</f>
        <v/>
      </c>
      <c r="E65" s="1167">
        <f>50-D65</f>
        <v/>
      </c>
    </row>
    <row r="66">
      <c r="A66" s="1167" t="inlineStr">
        <is>
          <t>LAB Surveying</t>
        </is>
      </c>
      <c r="B66" s="1167">
        <f>SUM(M45:M49)</f>
        <v/>
      </c>
      <c r="C66" s="1167">
        <f>SUM(N45:N49)</f>
        <v/>
      </c>
      <c r="D66" s="1167">
        <f>B66+C66</f>
        <v/>
      </c>
      <c r="E66" s="1167">
        <f>50-D66</f>
        <v/>
      </c>
    </row>
    <row r="67">
      <c r="A67" s="1167" t="inlineStr">
        <is>
          <t>LAB Hydraulic</t>
        </is>
      </c>
      <c r="B67" s="1167">
        <f>SUM(M50:M54)</f>
        <v/>
      </c>
      <c r="C67" s="1167">
        <f>SUM(N50:N54)</f>
        <v/>
      </c>
      <c r="D67" s="1167">
        <f>B67+C67</f>
        <v/>
      </c>
      <c r="E67" s="1167">
        <f>50-D67</f>
        <v/>
      </c>
    </row>
    <row r="68">
      <c r="A68" s="1168" t="inlineStr">
        <is>
          <t>หมายเหตุ: 50 ชม. = 5 วัน × 10 ชม. (8.00-18.00 น.) ไม่หักพักเที่ยงและคาบกิจกรรม; ข้อมูลหลักสูตรอื่นมาจากชีต LAB เดิมและไฟล์ Draft วศบ. (1.10.69 v4)</t>
        </is>
      </c>
    </row>
  </sheetData>
  <mergeCells count="10">
    <mergeCell ref="A40:A44"/>
    <mergeCell ref="A30:A34"/>
    <mergeCell ref="A5:A9"/>
    <mergeCell ref="A15:A19"/>
    <mergeCell ref="A35:A39"/>
    <mergeCell ref="A25:A29"/>
    <mergeCell ref="A10:A14"/>
    <mergeCell ref="A50:A54"/>
    <mergeCell ref="A20:A24"/>
    <mergeCell ref="A45:A4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/>
  </sheetPr>
  <dimension ref="A1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ยธ.1-102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5" t="n"/>
      <c r="E21" s="1007" t="n"/>
      <c r="F21" s="1008" t="n"/>
      <c r="G21" s="1007" t="n"/>
      <c r="H21" s="1008" t="n"/>
      <c r="I21" s="1007" t="n"/>
      <c r="J21" s="1008" t="n"/>
      <c r="K21" s="1007" t="n"/>
      <c r="L21" s="247" t="n"/>
      <c r="M21" s="998" t="n"/>
      <c r="N21" s="247" t="n"/>
      <c r="O21" s="998" t="n"/>
      <c r="P21" s="247" t="n"/>
      <c r="Q21" s="998" t="n"/>
      <c r="R21" s="247" t="n"/>
      <c r="S21" s="998" t="n"/>
      <c r="T21" s="247" t="n"/>
      <c r="U21" s="998" t="n"/>
      <c r="V21" s="247" t="n"/>
      <c r="W21" s="998" t="n"/>
      <c r="X21" s="1066" t="n"/>
      <c r="Y21" s="1007" t="n"/>
      <c r="Z21" s="1008" t="n"/>
      <c r="AA21" s="1007" t="n"/>
      <c r="AB21" s="1008" t="n"/>
      <c r="AC21" s="1007" t="n"/>
      <c r="AD21" s="1008" t="n"/>
      <c r="AE21" s="1007" t="n"/>
      <c r="AF21" s="1008" t="n"/>
      <c r="AG21" s="1007" t="n"/>
      <c r="AH21" s="1008" t="n"/>
      <c r="AI21" s="1007" t="n"/>
      <c r="AJ21" s="891" t="n"/>
      <c r="AK21" s="998" t="n"/>
      <c r="AL21" s="891" t="n"/>
      <c r="AM21" s="998" t="n"/>
      <c r="AN21" s="1065" t="n"/>
      <c r="AO21" s="1007" t="n"/>
      <c r="AP21" s="1008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E22" s="1012" t="n"/>
      <c r="F22" s="1011" t="n"/>
      <c r="G22" s="1012" t="n"/>
      <c r="H22" s="1011" t="n"/>
      <c r="I22" s="1012" t="n"/>
      <c r="J22" s="1011" t="n"/>
      <c r="K22" s="1012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11" t="n"/>
      <c r="Y22" s="1012" t="n"/>
      <c r="Z22" s="1011" t="n"/>
      <c r="AA22" s="1012" t="n"/>
      <c r="AB22" s="1011" t="n"/>
      <c r="AC22" s="1012" t="n"/>
      <c r="AD22" s="1011" t="n"/>
      <c r="AE22" s="1012" t="n"/>
      <c r="AF22" s="1011" t="n"/>
      <c r="AG22" s="1012" t="n"/>
      <c r="AH22" s="1011" t="n"/>
      <c r="AI22" s="1012" t="n"/>
      <c r="AJ22" s="1009" t="n"/>
      <c r="AK22" s="1010" t="n"/>
      <c r="AL22" s="1009" t="n"/>
      <c r="AM22" s="1010" t="n"/>
      <c r="AN22" s="1011" t="n"/>
      <c r="AO22" s="1012" t="n"/>
      <c r="AP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5" t="n"/>
      <c r="F23" s="1013" t="n"/>
      <c r="G23" s="1015" t="n"/>
      <c r="H23" s="1013" t="n"/>
      <c r="I23" s="1015" t="n"/>
      <c r="J23" s="1013" t="n"/>
      <c r="K23" s="1015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13" t="n"/>
      <c r="Y23" s="1015" t="n"/>
      <c r="Z23" s="1013" t="n"/>
      <c r="AA23" s="1015" t="n"/>
      <c r="AB23" s="1013" t="n"/>
      <c r="AC23" s="1015" t="n"/>
      <c r="AD23" s="1013" t="n"/>
      <c r="AE23" s="1015" t="n"/>
      <c r="AF23" s="1013" t="n"/>
      <c r="AG23" s="1015" t="n"/>
      <c r="AH23" s="1013" t="n"/>
      <c r="AI23" s="1015" t="n"/>
      <c r="AJ23" s="1002" t="n"/>
      <c r="AK23" s="1004" t="n"/>
      <c r="AL23" s="1002" t="n"/>
      <c r="AM23" s="1004" t="n"/>
      <c r="AN23" s="1013" t="n"/>
      <c r="AO23" s="1015" t="n"/>
      <c r="AP23" s="1013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1005" t="inlineStr">
        <is>
          <t>TEDCV927 การบริหารทรัพยากรอาคาร (ท3) [วิชาเลือก]
อ.เจษฎาพร
ค.อ.บ.ยธ. ปี 2</t>
        </is>
      </c>
      <c r="Y24" s="1006" t="n"/>
      <c r="Z24" s="1006" t="n"/>
      <c r="AA24" s="1006" t="n"/>
      <c r="AB24" s="1006" t="n"/>
      <c r="AC24" s="1006" t="n"/>
      <c r="AD24" s="1006" t="n"/>
      <c r="AE24" s="1006" t="n"/>
      <c r="AF24" s="1006" t="n"/>
      <c r="AG24" s="1006" t="n"/>
      <c r="AH24" s="1006" t="n"/>
      <c r="AI24" s="1007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11" t="n"/>
      <c r="AI25" s="1012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13" t="n"/>
      <c r="Y26" s="1014" t="n"/>
      <c r="Z26" s="1014" t="n"/>
      <c r="AA26" s="1014" t="n"/>
      <c r="AB26" s="1014" t="n"/>
      <c r="AC26" s="1014" t="n"/>
      <c r="AD26" s="1014" t="n"/>
      <c r="AE26" s="1014" t="n"/>
      <c r="AF26" s="1014" t="n"/>
      <c r="AG26" s="1014" t="n"/>
      <c r="AH26" s="1014" t="n"/>
      <c r="AI26" s="1015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8" t="inlineStr">
        <is>
          <t>TEDCV027 วิศวกรรมการทาง (ท2)
อ.อัครพงษ์
ค.อ.บ.ยธ. ปี 3</t>
        </is>
      </c>
      <c r="E27" s="1006" t="n"/>
      <c r="F27" s="1006" t="n"/>
      <c r="G27" s="1006" t="n"/>
      <c r="H27" s="1006" t="n"/>
      <c r="I27" s="1006" t="n"/>
      <c r="J27" s="1006" t="n"/>
      <c r="K27" s="1007" t="n"/>
      <c r="L27" s="247" t="n"/>
      <c r="M27" s="998" t="n"/>
      <c r="N27" s="247" t="n"/>
      <c r="O27" s="998" t="n"/>
      <c r="P27" s="247" t="n"/>
      <c r="Q27" s="998" t="n"/>
      <c r="R27" s="247" t="n"/>
      <c r="S27" s="998" t="n"/>
      <c r="T27" s="1066" t="n"/>
      <c r="U27" s="1007" t="n"/>
      <c r="V27" s="1008" t="n"/>
      <c r="W27" s="1007" t="n"/>
      <c r="X27" s="1008" t="n"/>
      <c r="Y27" s="1007" t="n"/>
      <c r="Z27" s="1008" t="n"/>
      <c r="AA27" s="1007" t="n"/>
      <c r="AB27" s="1008" t="n"/>
      <c r="AC27" s="1007" t="n"/>
      <c r="AD27" s="1008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K28" s="1012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11" t="n"/>
      <c r="U28" s="1012" t="n"/>
      <c r="V28" s="1011" t="n"/>
      <c r="W28" s="1012" t="n"/>
      <c r="X28" s="1011" t="n"/>
      <c r="Y28" s="1012" t="n"/>
      <c r="Z28" s="1011" t="n"/>
      <c r="AA28" s="1012" t="n"/>
      <c r="AB28" s="1011" t="n"/>
      <c r="AC28" s="1012" t="n"/>
      <c r="AD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5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13" t="n"/>
      <c r="U29" s="1015" t="n"/>
      <c r="V29" s="1013" t="n"/>
      <c r="W29" s="1015" t="n"/>
      <c r="X29" s="1013" t="n"/>
      <c r="Y29" s="1015" t="n"/>
      <c r="Z29" s="1013" t="n"/>
      <c r="AA29" s="1015" t="n"/>
      <c r="AB29" s="1013" t="n"/>
      <c r="AC29" s="1015" t="n"/>
      <c r="AD29" s="1013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1005" t="inlineStr">
        <is>
          <t>TEDCV005 การออกแบบโครงสร้างไม้และเหล็ก (ท3)
อ.ภาณุภัค
ค.อ.บ.ยธ. ปี 3</t>
        </is>
      </c>
      <c r="Y30" s="1006" t="n"/>
      <c r="Z30" s="1006" t="n"/>
      <c r="AA30" s="1006" t="n"/>
      <c r="AB30" s="1006" t="n"/>
      <c r="AC30" s="1006" t="n"/>
      <c r="AD30" s="1006" t="n"/>
      <c r="AE30" s="1006" t="n"/>
      <c r="AF30" s="1006" t="n"/>
      <c r="AG30" s="1006" t="n"/>
      <c r="AH30" s="1006" t="n"/>
      <c r="AI30" s="1007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11" t="n"/>
      <c r="AI31" s="1012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13" t="n"/>
      <c r="Y32" s="1014" t="n"/>
      <c r="Z32" s="1014" t="n"/>
      <c r="AA32" s="1014" t="n"/>
      <c r="AB32" s="1014" t="n"/>
      <c r="AC32" s="1014" t="n"/>
      <c r="AD32" s="1014" t="n"/>
      <c r="AE32" s="1014" t="n"/>
      <c r="AF32" s="1014" t="n"/>
      <c r="AG32" s="1014" t="n"/>
      <c r="AH32" s="1014" t="n"/>
      <c r="AI32" s="1015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05" t="inlineStr">
        <is>
          <t>TEDCC832 การวิจัยเพื่อพัฒนาการเรียนรู้ทางวิชาชีพ (ท2 ป2)
อ.อรทัย
ค.อ.บ.ยธ. ปี 2</t>
        </is>
      </c>
      <c r="E33" s="1006" t="n"/>
      <c r="F33" s="1006" t="n"/>
      <c r="G33" s="1006" t="n"/>
      <c r="H33" s="1006" t="n"/>
      <c r="I33" s="1006" t="n"/>
      <c r="J33" s="1006" t="n"/>
      <c r="K33" s="1006" t="n"/>
      <c r="L33" s="1006" t="n"/>
      <c r="M33" s="1006" t="n"/>
      <c r="N33" s="1006" t="n"/>
      <c r="O33" s="1006" t="n"/>
      <c r="P33" s="1006" t="n"/>
      <c r="Q33" s="1006" t="n"/>
      <c r="R33" s="1006" t="n"/>
      <c r="S33" s="1007" t="n"/>
      <c r="T33" s="891" t="n"/>
      <c r="U33" s="998" t="n"/>
      <c r="V33" s="891" t="n"/>
      <c r="W33" s="998" t="n"/>
      <c r="X33" s="1005" t="inlineStr">
        <is>
          <t>TEDCC829 ปรัชญาอาชีวศึกษาและการประกันคุณภาพ (ท1 ป2)
อ.อรทัย
ค.อ.บ.ยธ. ปี 1</t>
        </is>
      </c>
      <c r="Y33" s="1006" t="n"/>
      <c r="Z33" s="1006" t="n"/>
      <c r="AA33" s="1006" t="n"/>
      <c r="AB33" s="1006" t="n"/>
      <c r="AC33" s="1006" t="n"/>
      <c r="AD33" s="1006" t="n"/>
      <c r="AE33" s="1006" t="n"/>
      <c r="AF33" s="1006" t="n"/>
      <c r="AG33" s="1006" t="n"/>
      <c r="AH33" s="1006" t="n"/>
      <c r="AI33" s="1007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11" t="n"/>
      <c r="S34" s="1012" t="n"/>
      <c r="T34" s="1009" t="n"/>
      <c r="U34" s="1010" t="n"/>
      <c r="V34" s="1009" t="n"/>
      <c r="W34" s="1010" t="n"/>
      <c r="X34" s="1011" t="n"/>
      <c r="AI34" s="1012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4" t="n"/>
      <c r="F35" s="1014" t="n"/>
      <c r="G35" s="1014" t="n"/>
      <c r="H35" s="1014" t="n"/>
      <c r="I35" s="1014" t="n"/>
      <c r="J35" s="1014" t="n"/>
      <c r="K35" s="1014" t="n"/>
      <c r="L35" s="1014" t="n"/>
      <c r="M35" s="1014" t="n"/>
      <c r="N35" s="1014" t="n"/>
      <c r="O35" s="1014" t="n"/>
      <c r="P35" s="1014" t="n"/>
      <c r="Q35" s="1014" t="n"/>
      <c r="R35" s="1014" t="n"/>
      <c r="S35" s="1015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4" t="n"/>
      <c r="AF35" s="1014" t="n"/>
      <c r="AG35" s="1014" t="n"/>
      <c r="AH35" s="1014" t="n"/>
      <c r="AI35" s="1015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03">
    <mergeCell ref="AT17:AU17"/>
    <mergeCell ref="AY11:BB11"/>
    <mergeCell ref="H24:I26"/>
    <mergeCell ref="T10:AE10"/>
    <mergeCell ref="C5:K9"/>
    <mergeCell ref="D20:E20"/>
    <mergeCell ref="N20:O20"/>
    <mergeCell ref="AZ24:BB26"/>
    <mergeCell ref="AZ33:BB35"/>
    <mergeCell ref="P20:Q20"/>
    <mergeCell ref="L27:M29"/>
    <mergeCell ref="T24:U26"/>
    <mergeCell ref="AX19:AY19"/>
    <mergeCell ref="N27:O29"/>
    <mergeCell ref="AI2:AQ3"/>
    <mergeCell ref="T33:U35"/>
    <mergeCell ref="J19:K19"/>
    <mergeCell ref="V33:W35"/>
    <mergeCell ref="X27:Y29"/>
    <mergeCell ref="AN33:AO35"/>
    <mergeCell ref="AF36:AG38"/>
    <mergeCell ref="Z27:AA29"/>
    <mergeCell ref="N36:O38"/>
    <mergeCell ref="T9:AE9"/>
    <mergeCell ref="L19:M19"/>
    <mergeCell ref="AR27:AS29"/>
    <mergeCell ref="AY6:BB6"/>
    <mergeCell ref="AT27:AU29"/>
    <mergeCell ref="P2:S3"/>
    <mergeCell ref="AR9:AS9"/>
    <mergeCell ref="AY15:BB15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P36:Q38"/>
    <mergeCell ref="H39:I41"/>
    <mergeCell ref="AX36:AY38"/>
    <mergeCell ref="AR13:AS13"/>
    <mergeCell ref="R30:S32"/>
    <mergeCell ref="J30:K32"/>
    <mergeCell ref="T6:AE6"/>
    <mergeCell ref="L30:M32"/>
    <mergeCell ref="V39:W41"/>
    <mergeCell ref="X20:Y20"/>
    <mergeCell ref="AR6:AS6"/>
    <mergeCell ref="AY13:BB13"/>
    <mergeCell ref="AY4:BB4"/>
    <mergeCell ref="AR15:AS15"/>
    <mergeCell ref="AI5:AQ5"/>
    <mergeCell ref="P6:S6"/>
    <mergeCell ref="P39:Q41"/>
    <mergeCell ref="AH36:AI38"/>
    <mergeCell ref="Z39:AA41"/>
    <mergeCell ref="AB39:AC41"/>
    <mergeCell ref="AR12:AS12"/>
    <mergeCell ref="AL21:AM23"/>
    <mergeCell ref="AJ30:AK32"/>
    <mergeCell ref="A24:C26"/>
    <mergeCell ref="AN21:AO23"/>
    <mergeCell ref="AL39:AM41"/>
    <mergeCell ref="AT30:AU32"/>
    <mergeCell ref="AN39:AO41"/>
    <mergeCell ref="T14:AE14"/>
    <mergeCell ref="AV30:AW32"/>
    <mergeCell ref="AX30:AY32"/>
    <mergeCell ref="T4:AE4"/>
    <mergeCell ref="J21:K23"/>
    <mergeCell ref="L21:M23"/>
    <mergeCell ref="AZ30:BB32"/>
    <mergeCell ref="J39:K41"/>
    <mergeCell ref="AY5:BB5"/>
    <mergeCell ref="AR7:AS7"/>
    <mergeCell ref="AI15:AQ15"/>
    <mergeCell ref="AT13:AU13"/>
    <mergeCell ref="AT7:AU7"/>
    <mergeCell ref="N24:O26"/>
    <mergeCell ref="V21:W23"/>
    <mergeCell ref="P24:Q26"/>
    <mergeCell ref="AT16:AU16"/>
    <mergeCell ref="D19:E19"/>
    <mergeCell ref="X21:Y23"/>
    <mergeCell ref="F19:G19"/>
    <mergeCell ref="R19:S19"/>
    <mergeCell ref="AN24:AO26"/>
    <mergeCell ref="AI7:AQ7"/>
    <mergeCell ref="AT8:AU8"/>
    <mergeCell ref="AI16:AQ16"/>
    <mergeCell ref="AP33:AQ35"/>
    <mergeCell ref="X24:AI26"/>
    <mergeCell ref="V19:W19"/>
    <mergeCell ref="AR2:AS3"/>
    <mergeCell ref="F20:G20"/>
    <mergeCell ref="X19:Y19"/>
    <mergeCell ref="AT2:AU3"/>
    <mergeCell ref="AT24:AU26"/>
    <mergeCell ref="AP19:AQ19"/>
    <mergeCell ref="T8:AE8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L20:M20"/>
    <mergeCell ref="P9:S9"/>
    <mergeCell ref="AZ27:BB29"/>
    <mergeCell ref="H36:I38"/>
    <mergeCell ref="AF20:AG20"/>
    <mergeCell ref="AV19:AW19"/>
    <mergeCell ref="J36:K38"/>
    <mergeCell ref="H19:I19"/>
    <mergeCell ref="O2:O3"/>
    <mergeCell ref="V27:W29"/>
    <mergeCell ref="AJ33:AK35"/>
    <mergeCell ref="AB36:AC38"/>
    <mergeCell ref="AN27:AO29"/>
    <mergeCell ref="AR5:AS5"/>
    <mergeCell ref="AD36:AE38"/>
    <mergeCell ref="AP27:AQ29"/>
    <mergeCell ref="V36:W38"/>
    <mergeCell ref="AH39:AI41"/>
    <mergeCell ref="AP36:AQ38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AT36:AU38"/>
    <mergeCell ref="L36:M38"/>
    <mergeCell ref="D39:E41"/>
    <mergeCell ref="AV36:AW38"/>
    <mergeCell ref="F39:G41"/>
    <mergeCell ref="N30:O32"/>
    <mergeCell ref="P30:Q32"/>
    <mergeCell ref="AX39:AY41"/>
    <mergeCell ref="R39:S41"/>
    <mergeCell ref="H30:I32"/>
    <mergeCell ref="T39:U41"/>
    <mergeCell ref="AD21:AE23"/>
    <mergeCell ref="AI6:AQ6"/>
    <mergeCell ref="P13:S13"/>
    <mergeCell ref="AY10:BB10"/>
    <mergeCell ref="A19:C20"/>
    <mergeCell ref="AP21:AQ23"/>
    <mergeCell ref="AI18:AU18"/>
    <mergeCell ref="O18:S18"/>
    <mergeCell ref="AY7:BB7"/>
    <mergeCell ref="AF27:AM29"/>
    <mergeCell ref="AY16:BB16"/>
    <mergeCell ref="AI4:AQ4"/>
    <mergeCell ref="X39:Y41"/>
    <mergeCell ref="P15:S15"/>
    <mergeCell ref="AH21:AI23"/>
    <mergeCell ref="AJ21:AK23"/>
    <mergeCell ref="X30:AI32"/>
    <mergeCell ref="AR8:AS8"/>
    <mergeCell ref="AJ39:AK41"/>
    <mergeCell ref="D21:E23"/>
    <mergeCell ref="AV21:AW23"/>
    <mergeCell ref="F24:G26"/>
    <mergeCell ref="AX21:AY23"/>
    <mergeCell ref="AY18:BB18"/>
    <mergeCell ref="AP24:AQ26"/>
    <mergeCell ref="AD19:AE19"/>
    <mergeCell ref="R24:S26"/>
    <mergeCell ref="AR10:AS10"/>
    <mergeCell ref="T13:AE13"/>
    <mergeCell ref="T7:AE7"/>
    <mergeCell ref="AZ21:BB23"/>
    <mergeCell ref="J24:K26"/>
    <mergeCell ref="R21:S23"/>
    <mergeCell ref="AY2:BB3"/>
    <mergeCell ref="L24:M26"/>
    <mergeCell ref="T21:U23"/>
    <mergeCell ref="T16:AE16"/>
    <mergeCell ref="R20:S20"/>
    <mergeCell ref="V24:W26"/>
    <mergeCell ref="AR16:AS16"/>
    <mergeCell ref="AT10:AU10"/>
    <mergeCell ref="R27:S29"/>
    <mergeCell ref="AT19:AU19"/>
    <mergeCell ref="AR24:AS26"/>
    <mergeCell ref="N19:O19"/>
    <mergeCell ref="T18:AE18"/>
    <mergeCell ref="R36:S38"/>
    <mergeCell ref="AR33:AS35"/>
    <mergeCell ref="P19:Q19"/>
    <mergeCell ref="AI8:AQ8"/>
    <mergeCell ref="AB27:AC29"/>
    <mergeCell ref="AD27:AE29"/>
    <mergeCell ref="AI17:AQ17"/>
    <mergeCell ref="AT9:AU9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D30:E32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D39:AE41"/>
    <mergeCell ref="P5:S5"/>
    <mergeCell ref="F30:G32"/>
    <mergeCell ref="D33:S35"/>
    <mergeCell ref="AL36:AM38"/>
    <mergeCell ref="AP39:AQ41"/>
    <mergeCell ref="AL30:AM32"/>
    <mergeCell ref="AF39:AG41"/>
    <mergeCell ref="A27:C29"/>
    <mergeCell ref="AR39:AS41"/>
    <mergeCell ref="AN30:AO32"/>
    <mergeCell ref="P14:S14"/>
    <mergeCell ref="AT20:AU20"/>
    <mergeCell ref="AT14:AU14"/>
    <mergeCell ref="P4:S4"/>
    <mergeCell ref="D27:K29"/>
    <mergeCell ref="A33:C35"/>
    <mergeCell ref="AR4:AS4"/>
    <mergeCell ref="AI12:AQ12"/>
    <mergeCell ref="L39:M41"/>
    <mergeCell ref="N21:O23"/>
    <mergeCell ref="AT4:AU4"/>
    <mergeCell ref="AV39:AW41"/>
    <mergeCell ref="N39:O41"/>
    <mergeCell ref="P21:Q23"/>
    <mergeCell ref="V30:W32"/>
    <mergeCell ref="F21:G23"/>
    <mergeCell ref="Z21:AA23"/>
    <mergeCell ref="H21:I23"/>
    <mergeCell ref="AB21:AC23"/>
    <mergeCell ref="AY8:BB8"/>
    <mergeCell ref="AY17:BB17"/>
    <mergeCell ref="AI14:AQ14"/>
    <mergeCell ref="AT15:AU15"/>
    <mergeCell ref="AZ39:BB41"/>
    <mergeCell ref="P8:S8"/>
    <mergeCell ref="AI13:AQ13"/>
    <mergeCell ref="AF21:AG23"/>
    <mergeCell ref="T15:AE15"/>
    <mergeCell ref="AJ24:AK26"/>
    <mergeCell ref="AR21:AS23"/>
    <mergeCell ref="AL24:AM26"/>
    <mergeCell ref="AT21:AU23"/>
    <mergeCell ref="A39:C41"/>
    <mergeCell ref="AY9:BB9"/>
    <mergeCell ref="Z19:AA19"/>
    <mergeCell ref="D24:E26"/>
    <mergeCell ref="AV24:AW26"/>
    <mergeCell ref="AB19:AC19"/>
    <mergeCell ref="P7:S7"/>
    <mergeCell ref="AX24:AY26"/>
    <mergeCell ref="P16:S16"/>
    <mergeCell ref="T27:U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4"/>
    <outlinePr summaryBelow="1" summaryRight="1"/>
    <pageSetUpPr/>
  </sheetPr>
  <dimension ref="A1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ยธ.1-201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8" t="inlineStr">
        <is>
          <t>TEDCV926 การบริหารงานก่อสร้าง (ท2)
อ.อลงกต
ค.อ.บ.ยธ. ปี 3</t>
        </is>
      </c>
      <c r="E21" s="1006" t="n"/>
      <c r="F21" s="1006" t="n"/>
      <c r="G21" s="1006" t="n"/>
      <c r="H21" s="1006" t="n"/>
      <c r="I21" s="1006" t="n"/>
      <c r="J21" s="1006" t="n"/>
      <c r="K21" s="1007" t="n"/>
      <c r="L21" s="247" t="n"/>
      <c r="M21" s="998" t="n"/>
      <c r="N21" s="247" t="n"/>
      <c r="O21" s="998" t="n"/>
      <c r="P21" s="247" t="n"/>
      <c r="Q21" s="998" t="n"/>
      <c r="R21" s="247" t="n"/>
      <c r="S21" s="998" t="n"/>
      <c r="T21" s="247" t="n"/>
      <c r="U21" s="998" t="n"/>
      <c r="V21" s="247" t="n"/>
      <c r="W21" s="998" t="n"/>
      <c r="X21" s="1068" t="inlineStr">
        <is>
          <t>TEDCC830 การจัดการเรียนรู้และการจัดการชั้นเรียน (ท1 ป4)
อ.อลงกต
ค.อ.บ.ยธ. ปี 2</t>
        </is>
      </c>
      <c r="Y21" s="1006" t="n"/>
      <c r="Z21" s="1006" t="n"/>
      <c r="AA21" s="1006" t="n"/>
      <c r="AB21" s="1006" t="n"/>
      <c r="AC21" s="1006" t="n"/>
      <c r="AD21" s="1006" t="n"/>
      <c r="AE21" s="1006" t="n"/>
      <c r="AF21" s="1006" t="n"/>
      <c r="AG21" s="1006" t="n"/>
      <c r="AH21" s="1006" t="n"/>
      <c r="AI21" s="1006" t="n"/>
      <c r="AJ21" s="1006" t="n"/>
      <c r="AK21" s="1006" t="n"/>
      <c r="AL21" s="1006" t="n"/>
      <c r="AM21" s="1006" t="n"/>
      <c r="AN21" s="1006" t="n"/>
      <c r="AO21" s="1006" t="n"/>
      <c r="AP21" s="1006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K22" s="1012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4" t="n"/>
      <c r="F23" s="1014" t="n"/>
      <c r="G23" s="1014" t="n"/>
      <c r="H23" s="1014" t="n"/>
      <c r="I23" s="1014" t="n"/>
      <c r="J23" s="1014" t="n"/>
      <c r="K23" s="1015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13" t="n"/>
      <c r="Y23" s="1014" t="n"/>
      <c r="Z23" s="1014" t="n"/>
      <c r="AA23" s="1014" t="n"/>
      <c r="AB23" s="1014" t="n"/>
      <c r="AC23" s="1014" t="n"/>
      <c r="AD23" s="1014" t="n"/>
      <c r="AE23" s="1014" t="n"/>
      <c r="AF23" s="1014" t="n"/>
      <c r="AG23" s="1014" t="n"/>
      <c r="AH23" s="1014" t="n"/>
      <c r="AI23" s="1014" t="n"/>
      <c r="AJ23" s="1014" t="n"/>
      <c r="AK23" s="1014" t="n"/>
      <c r="AL23" s="1014" t="n"/>
      <c r="AM23" s="1014" t="n"/>
      <c r="AN23" s="1014" t="n"/>
      <c r="AO23" s="1014" t="n"/>
      <c r="AP23" s="1014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5" t="n"/>
      <c r="E27" s="1007" t="n"/>
      <c r="F27" s="1008" t="n"/>
      <c r="G27" s="1007" t="n"/>
      <c r="H27" s="1008" t="n"/>
      <c r="I27" s="1007" t="n"/>
      <c r="J27" s="1008" t="n"/>
      <c r="K27" s="1007" t="n"/>
      <c r="L27" s="247" t="n"/>
      <c r="M27" s="998" t="n"/>
      <c r="N27" s="247" t="n"/>
      <c r="O27" s="998" t="n"/>
      <c r="P27" s="247" t="n"/>
      <c r="Q27" s="998" t="n"/>
      <c r="R27" s="247" t="n"/>
      <c r="S27" s="998" t="n"/>
      <c r="T27" s="1066" t="n"/>
      <c r="U27" s="1007" t="n"/>
      <c r="V27" s="1008" t="n"/>
      <c r="W27" s="1007" t="n"/>
      <c r="X27" s="1008" t="n"/>
      <c r="Y27" s="1007" t="n"/>
      <c r="Z27" s="1008" t="n"/>
      <c r="AA27" s="1007" t="n"/>
      <c r="AB27" s="1008" t="n"/>
      <c r="AC27" s="1007" t="n"/>
      <c r="AD27" s="1008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E28" s="1012" t="n"/>
      <c r="F28" s="1011" t="n"/>
      <c r="G28" s="1012" t="n"/>
      <c r="H28" s="1011" t="n"/>
      <c r="I28" s="1012" t="n"/>
      <c r="J28" s="1011" t="n"/>
      <c r="K28" s="1012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11" t="n"/>
      <c r="U28" s="1012" t="n"/>
      <c r="V28" s="1011" t="n"/>
      <c r="W28" s="1012" t="n"/>
      <c r="X28" s="1011" t="n"/>
      <c r="Y28" s="1012" t="n"/>
      <c r="Z28" s="1011" t="n"/>
      <c r="AA28" s="1012" t="n"/>
      <c r="AB28" s="1011" t="n"/>
      <c r="AC28" s="1012" t="n"/>
      <c r="AD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5" t="n"/>
      <c r="F29" s="1013" t="n"/>
      <c r="G29" s="1015" t="n"/>
      <c r="H29" s="1013" t="n"/>
      <c r="I29" s="1015" t="n"/>
      <c r="J29" s="1013" t="n"/>
      <c r="K29" s="1015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13" t="n"/>
      <c r="U29" s="1015" t="n"/>
      <c r="V29" s="1013" t="n"/>
      <c r="W29" s="1015" t="n"/>
      <c r="X29" s="1013" t="n"/>
      <c r="Y29" s="1015" t="n"/>
      <c r="Z29" s="1013" t="n"/>
      <c r="AA29" s="1015" t="n"/>
      <c r="AB29" s="1013" t="n"/>
      <c r="AC29" s="1015" t="n"/>
      <c r="AD29" s="1013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05" t="inlineStr">
        <is>
          <t>TEDCV924 คอมพิวเตอร์สำหรับงานวิศวกรรมโยธา (ท1 ป3)
อ.เจษฎาพร อ.โชติกาญจน์
ค.อ.บ.ยธ. ปี 3</t>
        </is>
      </c>
      <c r="E30" s="1006" t="n"/>
      <c r="F30" s="1006" t="n"/>
      <c r="G30" s="1006" t="n"/>
      <c r="H30" s="1006" t="n"/>
      <c r="I30" s="1006" t="n"/>
      <c r="J30" s="1006" t="n"/>
      <c r="K30" s="1006" t="n"/>
      <c r="L30" s="1006" t="n"/>
      <c r="M30" s="1006" t="n"/>
      <c r="N30" s="1006" t="n"/>
      <c r="O30" s="1006" t="n"/>
      <c r="P30" s="1006" t="n"/>
      <c r="Q30" s="1006" t="n"/>
      <c r="R30" s="1006" t="n"/>
      <c r="S30" s="1007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11" t="n"/>
      <c r="S31" s="1012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4" t="n"/>
      <c r="F32" s="1014" t="n"/>
      <c r="G32" s="1014" t="n"/>
      <c r="H32" s="1014" t="n"/>
      <c r="I32" s="1014" t="n"/>
      <c r="J32" s="1014" t="n"/>
      <c r="K32" s="1014" t="n"/>
      <c r="L32" s="1014" t="n"/>
      <c r="M32" s="1014" t="n"/>
      <c r="N32" s="1014" t="n"/>
      <c r="O32" s="1014" t="n"/>
      <c r="P32" s="1014" t="n"/>
      <c r="Q32" s="1014" t="n"/>
      <c r="R32" s="1014" t="n"/>
      <c r="S32" s="1015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05" t="inlineStr">
        <is>
          <t>TEDCV009 คอนกรีตเทคโนโลยี (ท2)
อ.โชติกาญจน์
ค.อ.บ.ยธ. ปี 2</t>
        </is>
      </c>
      <c r="Y33" s="1006" t="n"/>
      <c r="Z33" s="1006" t="n"/>
      <c r="AA33" s="1006" t="n"/>
      <c r="AB33" s="1006" t="n"/>
      <c r="AC33" s="1006" t="n"/>
      <c r="AD33" s="1006" t="n"/>
      <c r="AE33" s="1007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11" t="n"/>
      <c r="AE34" s="1012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5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06">
    <mergeCell ref="AT17:AU17"/>
    <mergeCell ref="AY11:BB11"/>
    <mergeCell ref="H24:I26"/>
    <mergeCell ref="T10:AE10"/>
    <mergeCell ref="C5:K9"/>
    <mergeCell ref="H33:I35"/>
    <mergeCell ref="N20:O20"/>
    <mergeCell ref="D20:E20"/>
    <mergeCell ref="J33:K35"/>
    <mergeCell ref="AZ33:BB35"/>
    <mergeCell ref="L27:M29"/>
    <mergeCell ref="T24:U26"/>
    <mergeCell ref="P20:Q20"/>
    <mergeCell ref="N27:O29"/>
    <mergeCell ref="AX19:AY19"/>
    <mergeCell ref="AI2:AQ3"/>
    <mergeCell ref="T33:U35"/>
    <mergeCell ref="J19:K19"/>
    <mergeCell ref="V33:W35"/>
    <mergeCell ref="X27:Y29"/>
    <mergeCell ref="AN33:AO35"/>
    <mergeCell ref="AF36:AG38"/>
    <mergeCell ref="Z27:AA29"/>
    <mergeCell ref="N36:O38"/>
    <mergeCell ref="T9:AE9"/>
    <mergeCell ref="L19:M19"/>
    <mergeCell ref="AR27:AS29"/>
    <mergeCell ref="AY6:BB6"/>
    <mergeCell ref="AT27:AU29"/>
    <mergeCell ref="P2:S3"/>
    <mergeCell ref="AR9:AS9"/>
    <mergeCell ref="AY15:BB15"/>
    <mergeCell ref="V20:W20"/>
    <mergeCell ref="AN20:AO20"/>
    <mergeCell ref="AF2:AH2"/>
    <mergeCell ref="T11:AE11"/>
    <mergeCell ref="AP20:AQ20"/>
    <mergeCell ref="A21:C23"/>
    <mergeCell ref="AH20:AI20"/>
    <mergeCell ref="AY12:BB12"/>
    <mergeCell ref="AT33:AU35"/>
    <mergeCell ref="D21:K23"/>
    <mergeCell ref="AV27:AW29"/>
    <mergeCell ref="AN36:AO38"/>
    <mergeCell ref="AX27:AY29"/>
    <mergeCell ref="AT5:AU5"/>
    <mergeCell ref="P36:Q38"/>
    <mergeCell ref="H39:I41"/>
    <mergeCell ref="AX36:AY38"/>
    <mergeCell ref="AR13:AS13"/>
    <mergeCell ref="T6:AE6"/>
    <mergeCell ref="V39:W41"/>
    <mergeCell ref="AD30:AE32"/>
    <mergeCell ref="X20:Y20"/>
    <mergeCell ref="AF30:AG32"/>
    <mergeCell ref="AR6:AS6"/>
    <mergeCell ref="AY13:BB13"/>
    <mergeCell ref="AY4:BB4"/>
    <mergeCell ref="AR15:AS15"/>
    <mergeCell ref="AI5:AQ5"/>
    <mergeCell ref="P6:S6"/>
    <mergeCell ref="P39:Q41"/>
    <mergeCell ref="AH36:AI38"/>
    <mergeCell ref="Z39:AA41"/>
    <mergeCell ref="AH30:AI32"/>
    <mergeCell ref="AB39:AC41"/>
    <mergeCell ref="AR12:AS12"/>
    <mergeCell ref="AJ30:AK32"/>
    <mergeCell ref="A24:C26"/>
    <mergeCell ref="AL39:AM41"/>
    <mergeCell ref="AT30:AU32"/>
    <mergeCell ref="AN39:AO41"/>
    <mergeCell ref="T14:AE14"/>
    <mergeCell ref="AV30:AW32"/>
    <mergeCell ref="AX30:AY32"/>
    <mergeCell ref="T4:AE4"/>
    <mergeCell ref="L21:M23"/>
    <mergeCell ref="AZ30:BB32"/>
    <mergeCell ref="J39:K41"/>
    <mergeCell ref="AY5:BB5"/>
    <mergeCell ref="AR7:AS7"/>
    <mergeCell ref="AI15:AQ15"/>
    <mergeCell ref="AT13:AU13"/>
    <mergeCell ref="AT7:AU7"/>
    <mergeCell ref="N24:O26"/>
    <mergeCell ref="V21:W23"/>
    <mergeCell ref="P24:Q26"/>
    <mergeCell ref="AT16:AU16"/>
    <mergeCell ref="D19:E19"/>
    <mergeCell ref="P33:Q35"/>
    <mergeCell ref="F19:G19"/>
    <mergeCell ref="R33:S35"/>
    <mergeCell ref="Z24:AA26"/>
    <mergeCell ref="AB24:AC26"/>
    <mergeCell ref="AD24:AE26"/>
    <mergeCell ref="R19:S19"/>
    <mergeCell ref="AN24:AO26"/>
    <mergeCell ref="AI7:AQ7"/>
    <mergeCell ref="AF24:AG26"/>
    <mergeCell ref="AT8:AU8"/>
    <mergeCell ref="AH24:AI26"/>
    <mergeCell ref="AP33:AQ35"/>
    <mergeCell ref="AF33:AG35"/>
    <mergeCell ref="AI16:AQ16"/>
    <mergeCell ref="V19:W19"/>
    <mergeCell ref="AR2:AS3"/>
    <mergeCell ref="F20:G20"/>
    <mergeCell ref="AH33:AI35"/>
    <mergeCell ref="AT2:AU3"/>
    <mergeCell ref="AT24:AU26"/>
    <mergeCell ref="D27:E29"/>
    <mergeCell ref="AP19:AQ19"/>
    <mergeCell ref="T8:AE8"/>
    <mergeCell ref="X19:Y19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F33:G35"/>
    <mergeCell ref="L20:M20"/>
    <mergeCell ref="P9:S9"/>
    <mergeCell ref="J27:K29"/>
    <mergeCell ref="H36:I38"/>
    <mergeCell ref="AF20:AG20"/>
    <mergeCell ref="AZ27:BB29"/>
    <mergeCell ref="J36:K38"/>
    <mergeCell ref="AV19:AW19"/>
    <mergeCell ref="H19:I19"/>
    <mergeCell ref="O2:O3"/>
    <mergeCell ref="V27:W29"/>
    <mergeCell ref="AJ33:AK35"/>
    <mergeCell ref="AB36:AC38"/>
    <mergeCell ref="AN27:AO29"/>
    <mergeCell ref="AR5:AS5"/>
    <mergeCell ref="AD36:AE38"/>
    <mergeCell ref="AP27:AQ29"/>
    <mergeCell ref="V36:W38"/>
    <mergeCell ref="AH39:AI41"/>
    <mergeCell ref="AP36:AQ38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AT36:AU38"/>
    <mergeCell ref="L36:M38"/>
    <mergeCell ref="D39:E41"/>
    <mergeCell ref="AV36:AW38"/>
    <mergeCell ref="F39:G41"/>
    <mergeCell ref="AX39:AY41"/>
    <mergeCell ref="R39:S41"/>
    <mergeCell ref="Z30:AA32"/>
    <mergeCell ref="T39:U41"/>
    <mergeCell ref="AI6:AQ6"/>
    <mergeCell ref="AB30:AC32"/>
    <mergeCell ref="P13:S13"/>
    <mergeCell ref="AZ24:BB26"/>
    <mergeCell ref="AY10:BB10"/>
    <mergeCell ref="A19:C20"/>
    <mergeCell ref="AI18:AU18"/>
    <mergeCell ref="O18:S18"/>
    <mergeCell ref="X21:AQ23"/>
    <mergeCell ref="AY7:BB7"/>
    <mergeCell ref="AF27:AM29"/>
    <mergeCell ref="AY16:BB16"/>
    <mergeCell ref="AI4:AQ4"/>
    <mergeCell ref="X39:Y41"/>
    <mergeCell ref="P15:S15"/>
    <mergeCell ref="AR8:AS8"/>
    <mergeCell ref="AJ39:AK41"/>
    <mergeCell ref="AV21:AW23"/>
    <mergeCell ref="F24:G26"/>
    <mergeCell ref="AX21:AY23"/>
    <mergeCell ref="AY18:BB18"/>
    <mergeCell ref="AP24:AQ26"/>
    <mergeCell ref="AD19:AE19"/>
    <mergeCell ref="D30:S32"/>
    <mergeCell ref="R24:S26"/>
    <mergeCell ref="AR10:AS10"/>
    <mergeCell ref="T13:AE13"/>
    <mergeCell ref="T7:AE7"/>
    <mergeCell ref="AZ21:BB23"/>
    <mergeCell ref="J24:K26"/>
    <mergeCell ref="R21:S23"/>
    <mergeCell ref="AY2:BB3"/>
    <mergeCell ref="L24:M26"/>
    <mergeCell ref="T21:U23"/>
    <mergeCell ref="T16:AE16"/>
    <mergeCell ref="L33:M35"/>
    <mergeCell ref="R20:S20"/>
    <mergeCell ref="V24:W26"/>
    <mergeCell ref="AR16:AS16"/>
    <mergeCell ref="N33:O35"/>
    <mergeCell ref="AT10:AU10"/>
    <mergeCell ref="X24:Y26"/>
    <mergeCell ref="R27:S29"/>
    <mergeCell ref="AT19:AU19"/>
    <mergeCell ref="AR24:AS26"/>
    <mergeCell ref="N19:O19"/>
    <mergeCell ref="T18:AE18"/>
    <mergeCell ref="R36:S38"/>
    <mergeCell ref="AR33:AS35"/>
    <mergeCell ref="P19:Q19"/>
    <mergeCell ref="AI8:AQ8"/>
    <mergeCell ref="AB27:AC29"/>
    <mergeCell ref="AD27:AE29"/>
    <mergeCell ref="AI17:AQ17"/>
    <mergeCell ref="AT9:AU9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D39:AE41"/>
    <mergeCell ref="P5:S5"/>
    <mergeCell ref="AL36:AM38"/>
    <mergeCell ref="AL30:AM32"/>
    <mergeCell ref="AF39:AG41"/>
    <mergeCell ref="AP39:AQ41"/>
    <mergeCell ref="AN30:AO32"/>
    <mergeCell ref="P14:S14"/>
    <mergeCell ref="A27:C29"/>
    <mergeCell ref="AR39:AS41"/>
    <mergeCell ref="AT20:AU20"/>
    <mergeCell ref="AT14:AU14"/>
    <mergeCell ref="P4:S4"/>
    <mergeCell ref="A33:C35"/>
    <mergeCell ref="AR4:AS4"/>
    <mergeCell ref="L39:M41"/>
    <mergeCell ref="N21:O23"/>
    <mergeCell ref="AT4:AU4"/>
    <mergeCell ref="AV39:AW41"/>
    <mergeCell ref="N39:O41"/>
    <mergeCell ref="P21:Q23"/>
    <mergeCell ref="V30:W32"/>
    <mergeCell ref="AI12:AQ12"/>
    <mergeCell ref="X30:Y32"/>
    <mergeCell ref="AY8:BB8"/>
    <mergeCell ref="AY17:BB17"/>
    <mergeCell ref="AI14:AQ14"/>
    <mergeCell ref="X33:AE35"/>
    <mergeCell ref="AT15:AU15"/>
    <mergeCell ref="AZ39:BB41"/>
    <mergeCell ref="P8:S8"/>
    <mergeCell ref="AI13:AQ13"/>
    <mergeCell ref="T15:AE15"/>
    <mergeCell ref="AJ24:AK26"/>
    <mergeCell ref="AR21:AS23"/>
    <mergeCell ref="D24:E26"/>
    <mergeCell ref="AL24:AM26"/>
    <mergeCell ref="AT21:AU23"/>
    <mergeCell ref="A39:C41"/>
    <mergeCell ref="AY9:BB9"/>
    <mergeCell ref="Z19:AA19"/>
    <mergeCell ref="D33:E35"/>
    <mergeCell ref="AV24:AW26"/>
    <mergeCell ref="AB19:AC19"/>
    <mergeCell ref="F27:G29"/>
    <mergeCell ref="AX24:AY26"/>
    <mergeCell ref="H27:I29"/>
    <mergeCell ref="P7:S7"/>
    <mergeCell ref="P16:S16"/>
    <mergeCell ref="T27:U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4"/>
    <outlinePr summaryBelow="1" summaryRight="1"/>
    <pageSetUpPr/>
  </sheetPr>
  <dimension ref="A1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ยธ.1-202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8" t="inlineStr">
        <is>
          <t>TEDCV902 เขียนแบบก่อสร้าง 2 (ท1 ป3)
อ.อัครพงษ์
ค.อ.บ.ยธ. ปี 1</t>
        </is>
      </c>
      <c r="E21" s="1006" t="n"/>
      <c r="F21" s="1006" t="n"/>
      <c r="G21" s="1006" t="n"/>
      <c r="H21" s="1006" t="n"/>
      <c r="I21" s="1006" t="n"/>
      <c r="J21" s="1006" t="n"/>
      <c r="K21" s="1006" t="n"/>
      <c r="L21" s="1006" t="n"/>
      <c r="M21" s="1006" t="n"/>
      <c r="N21" s="1006" t="n"/>
      <c r="O21" s="1006" t="n"/>
      <c r="P21" s="1006" t="n"/>
      <c r="Q21" s="1006" t="n"/>
      <c r="R21" s="1006" t="n"/>
      <c r="S21" s="1007" t="n"/>
      <c r="T21" s="247" t="n"/>
      <c r="U21" s="998" t="n"/>
      <c r="V21" s="247" t="n"/>
      <c r="W21" s="998" t="n"/>
      <c r="X21" s="1068" t="inlineStr">
        <is>
          <t>TEDCV002 กลศาสตร์ของวัสดุ 1 (ท3)
อ.ภาณุภัค
ค.อ.บ.ยธ. ปี 1</t>
        </is>
      </c>
      <c r="Y21" s="1006" t="n"/>
      <c r="Z21" s="1006" t="n"/>
      <c r="AA21" s="1006" t="n"/>
      <c r="AB21" s="1006" t="n"/>
      <c r="AC21" s="1006" t="n"/>
      <c r="AD21" s="1006" t="n"/>
      <c r="AE21" s="1006" t="n"/>
      <c r="AF21" s="1006" t="n"/>
      <c r="AG21" s="1006" t="n"/>
      <c r="AH21" s="1006" t="n"/>
      <c r="AI21" s="1007" t="n"/>
      <c r="AJ21" s="891" t="n"/>
      <c r="AK21" s="998" t="n"/>
      <c r="AL21" s="891" t="n"/>
      <c r="AM21" s="998" t="n"/>
      <c r="AN21" s="1065" t="n"/>
      <c r="AO21" s="1007" t="n"/>
      <c r="AP21" s="1008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S22" s="1012" t="n"/>
      <c r="T22" s="1009" t="n"/>
      <c r="U22" s="1010" t="n"/>
      <c r="V22" s="1009" t="n"/>
      <c r="W22" s="1010" t="n"/>
      <c r="X22" s="1011" t="n"/>
      <c r="AI22" s="1012" t="n"/>
      <c r="AJ22" s="1009" t="n"/>
      <c r="AK22" s="1010" t="n"/>
      <c r="AL22" s="1009" t="n"/>
      <c r="AM22" s="1010" t="n"/>
      <c r="AN22" s="1011" t="n"/>
      <c r="AO22" s="1012" t="n"/>
      <c r="AP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4" t="n"/>
      <c r="F23" s="1014" t="n"/>
      <c r="G23" s="1014" t="n"/>
      <c r="H23" s="1014" t="n"/>
      <c r="I23" s="1014" t="n"/>
      <c r="J23" s="1014" t="n"/>
      <c r="K23" s="1014" t="n"/>
      <c r="L23" s="1014" t="n"/>
      <c r="M23" s="1014" t="n"/>
      <c r="N23" s="1014" t="n"/>
      <c r="O23" s="1014" t="n"/>
      <c r="P23" s="1014" t="n"/>
      <c r="Q23" s="1014" t="n"/>
      <c r="R23" s="1014" t="n"/>
      <c r="S23" s="1015" t="n"/>
      <c r="T23" s="1002" t="n"/>
      <c r="U23" s="1004" t="n"/>
      <c r="V23" s="1002" t="n"/>
      <c r="W23" s="1004" t="n"/>
      <c r="X23" s="1013" t="n"/>
      <c r="Y23" s="1014" t="n"/>
      <c r="Z23" s="1014" t="n"/>
      <c r="AA23" s="1014" t="n"/>
      <c r="AB23" s="1014" t="n"/>
      <c r="AC23" s="1014" t="n"/>
      <c r="AD23" s="1014" t="n"/>
      <c r="AE23" s="1014" t="n"/>
      <c r="AF23" s="1014" t="n"/>
      <c r="AG23" s="1014" t="n"/>
      <c r="AH23" s="1014" t="n"/>
      <c r="AI23" s="1015" t="n"/>
      <c r="AJ23" s="1002" t="n"/>
      <c r="AK23" s="1004" t="n"/>
      <c r="AL23" s="1002" t="n"/>
      <c r="AM23" s="1004" t="n"/>
      <c r="AN23" s="1013" t="n"/>
      <c r="AO23" s="1015" t="n"/>
      <c r="AP23" s="1013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1005" t="inlineStr">
        <is>
          <t>TEDCV028 Mechanics of Materials 2 (ท3) [วิชาเลือก]
อ.ภาณุภัค
ค.อ.บ.ยธ. ปี 2</t>
        </is>
      </c>
      <c r="Y24" s="1006" t="n"/>
      <c r="Z24" s="1006" t="n"/>
      <c r="AA24" s="1006" t="n"/>
      <c r="AB24" s="1006" t="n"/>
      <c r="AC24" s="1006" t="n"/>
      <c r="AD24" s="1006" t="n"/>
      <c r="AE24" s="1006" t="n"/>
      <c r="AF24" s="1006" t="n"/>
      <c r="AG24" s="1006" t="n"/>
      <c r="AH24" s="1006" t="n"/>
      <c r="AI24" s="1007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11" t="n"/>
      <c r="AI25" s="1012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13" t="n"/>
      <c r="Y26" s="1014" t="n"/>
      <c r="Z26" s="1014" t="n"/>
      <c r="AA26" s="1014" t="n"/>
      <c r="AB26" s="1014" t="n"/>
      <c r="AC26" s="1014" t="n"/>
      <c r="AD26" s="1014" t="n"/>
      <c r="AE26" s="1014" t="n"/>
      <c r="AF26" s="1014" t="n"/>
      <c r="AG26" s="1014" t="n"/>
      <c r="AH26" s="1014" t="n"/>
      <c r="AI26" s="1015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8" t="inlineStr">
        <is>
          <t>TEDCC828 การพัฒนาหลักสูตรอาชีวศึกษา (ท1 ป2)
อ.อลงกต อ.โชติกาญจน์
ค.อ.บ.ยธ. ปี 1</t>
        </is>
      </c>
      <c r="E27" s="1006" t="n"/>
      <c r="F27" s="1006" t="n"/>
      <c r="G27" s="1006" t="n"/>
      <c r="H27" s="1006" t="n"/>
      <c r="I27" s="1006" t="n"/>
      <c r="J27" s="1006" t="n"/>
      <c r="K27" s="1006" t="n"/>
      <c r="L27" s="1006" t="n"/>
      <c r="M27" s="1006" t="n"/>
      <c r="N27" s="1006" t="n"/>
      <c r="O27" s="1007" t="n"/>
      <c r="P27" s="247" t="n"/>
      <c r="Q27" s="998" t="n"/>
      <c r="R27" s="247" t="n"/>
      <c r="S27" s="998" t="n"/>
      <c r="T27" s="1068" t="inlineStr">
        <is>
          <t>TEDCV024 การเตรียมโครงงานทางครุศาสตร์อุตสาหกรรมโยธา (ป3)
อ.เจษฎาพร
ค.อ.บ.ยธ. ปี 2</t>
        </is>
      </c>
      <c r="U27" s="1006" t="n"/>
      <c r="V27" s="1006" t="n"/>
      <c r="W27" s="1006" t="n"/>
      <c r="X27" s="1006" t="n"/>
      <c r="Y27" s="1006" t="n"/>
      <c r="Z27" s="1006" t="n"/>
      <c r="AA27" s="1006" t="n"/>
      <c r="AB27" s="1006" t="n"/>
      <c r="AC27" s="1006" t="n"/>
      <c r="AD27" s="1006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O28" s="1012" t="n"/>
      <c r="P28" s="1009" t="n"/>
      <c r="Q28" s="1010" t="n"/>
      <c r="R28" s="1009" t="n"/>
      <c r="S28" s="1010" t="n"/>
      <c r="T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4" t="n"/>
      <c r="L29" s="1014" t="n"/>
      <c r="M29" s="1014" t="n"/>
      <c r="N29" s="1014" t="n"/>
      <c r="O29" s="1015" t="n"/>
      <c r="P29" s="1002" t="n"/>
      <c r="Q29" s="1004" t="n"/>
      <c r="R29" s="1002" t="n"/>
      <c r="S29" s="1004" t="n"/>
      <c r="T29" s="1013" t="n"/>
      <c r="U29" s="1014" t="n"/>
      <c r="V29" s="1014" t="n"/>
      <c r="W29" s="1014" t="n"/>
      <c r="X29" s="1014" t="n"/>
      <c r="Y29" s="1014" t="n"/>
      <c r="Z29" s="1014" t="n"/>
      <c r="AA29" s="1014" t="n"/>
      <c r="AB29" s="1014" t="n"/>
      <c r="AC29" s="1014" t="n"/>
      <c r="AD29" s="1014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05" t="inlineStr">
        <is>
          <t>TEDCV006 การออกแบบโครงสร้างคอนกรีตเสริมเหล็ก (ท3)
อ.เจษฎาพร
ค.อ.บ.ยธ. ปี 3</t>
        </is>
      </c>
      <c r="E33" s="1006" t="n"/>
      <c r="F33" s="1006" t="n"/>
      <c r="G33" s="1006" t="n"/>
      <c r="H33" s="1006" t="n"/>
      <c r="I33" s="1006" t="n"/>
      <c r="J33" s="1006" t="n"/>
      <c r="K33" s="1006" t="n"/>
      <c r="L33" s="1006" t="n"/>
      <c r="M33" s="1006" t="n"/>
      <c r="N33" s="1006" t="n"/>
      <c r="O33" s="1007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05" t="inlineStr">
        <is>
          <t>TEDCC835 การฝึกปฏิบัติการสอนวิชาชีพระหว่างเรียน (ป3)
อ.อลงกต อ.เจษฎาพร
ค.อ.บ.ยธ. ปี 3</t>
        </is>
      </c>
      <c r="Y33" s="1006" t="n"/>
      <c r="Z33" s="1006" t="n"/>
      <c r="AA33" s="1006" t="n"/>
      <c r="AB33" s="1006" t="n"/>
      <c r="AC33" s="1006" t="n"/>
      <c r="AD33" s="1006" t="n"/>
      <c r="AE33" s="1006" t="n"/>
      <c r="AF33" s="1006" t="n"/>
      <c r="AG33" s="1006" t="n"/>
      <c r="AH33" s="1006" t="n"/>
      <c r="AI33" s="1007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11" t="n"/>
      <c r="O34" s="1012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11" t="n"/>
      <c r="AI34" s="1012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4" t="n"/>
      <c r="F35" s="1014" t="n"/>
      <c r="G35" s="1014" t="n"/>
      <c r="H35" s="1014" t="n"/>
      <c r="I35" s="1014" t="n"/>
      <c r="J35" s="1014" t="n"/>
      <c r="K35" s="1014" t="n"/>
      <c r="L35" s="1014" t="n"/>
      <c r="M35" s="1014" t="n"/>
      <c r="N35" s="1014" t="n"/>
      <c r="O35" s="1015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4" t="n"/>
      <c r="AF35" s="1014" t="n"/>
      <c r="AG35" s="1014" t="n"/>
      <c r="AH35" s="1014" t="n"/>
      <c r="AI35" s="1015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291">
    <mergeCell ref="AT17:AU17"/>
    <mergeCell ref="AY11:BB11"/>
    <mergeCell ref="H24:I26"/>
    <mergeCell ref="T10:AE10"/>
    <mergeCell ref="C5:K9"/>
    <mergeCell ref="D20:E20"/>
    <mergeCell ref="N20:O20"/>
    <mergeCell ref="AZ24:BB26"/>
    <mergeCell ref="AZ33:BB35"/>
    <mergeCell ref="P20:Q20"/>
    <mergeCell ref="T24:U26"/>
    <mergeCell ref="AX19:AY19"/>
    <mergeCell ref="AI2:AQ3"/>
    <mergeCell ref="T33:U35"/>
    <mergeCell ref="D27:O29"/>
    <mergeCell ref="J19:K19"/>
    <mergeCell ref="V33:W35"/>
    <mergeCell ref="N36:O38"/>
    <mergeCell ref="AN33:AO35"/>
    <mergeCell ref="AF36:AG38"/>
    <mergeCell ref="T9:AE9"/>
    <mergeCell ref="L19:M19"/>
    <mergeCell ref="AR27:AS29"/>
    <mergeCell ref="AY6:BB6"/>
    <mergeCell ref="AT27:AU29"/>
    <mergeCell ref="P2:S3"/>
    <mergeCell ref="AR9:AS9"/>
    <mergeCell ref="AY15:BB15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P36:Q38"/>
    <mergeCell ref="H39:I41"/>
    <mergeCell ref="AX36:AY38"/>
    <mergeCell ref="AR13:AS13"/>
    <mergeCell ref="R30:S32"/>
    <mergeCell ref="J30:K32"/>
    <mergeCell ref="T6:AE6"/>
    <mergeCell ref="L30:M32"/>
    <mergeCell ref="V39:W41"/>
    <mergeCell ref="AD30:AE32"/>
    <mergeCell ref="X20:Y20"/>
    <mergeCell ref="AF30:AG32"/>
    <mergeCell ref="AR6:AS6"/>
    <mergeCell ref="AY13:BB13"/>
    <mergeCell ref="AY4:BB4"/>
    <mergeCell ref="AR15:AS15"/>
    <mergeCell ref="AI5:AQ5"/>
    <mergeCell ref="P6:S6"/>
    <mergeCell ref="P39:Q41"/>
    <mergeCell ref="AH36:AI38"/>
    <mergeCell ref="Z39:AA41"/>
    <mergeCell ref="AH30:AI32"/>
    <mergeCell ref="AB39:AC41"/>
    <mergeCell ref="AL21:AM23"/>
    <mergeCell ref="AJ30:AK32"/>
    <mergeCell ref="AR12:AS12"/>
    <mergeCell ref="AN21:AO23"/>
    <mergeCell ref="AL39:AM41"/>
    <mergeCell ref="A24:C26"/>
    <mergeCell ref="AT30:AU32"/>
    <mergeCell ref="AN39:AO41"/>
    <mergeCell ref="T14:AE14"/>
    <mergeCell ref="AV30:AW32"/>
    <mergeCell ref="AX30:AY32"/>
    <mergeCell ref="T4:AE4"/>
    <mergeCell ref="AZ30:BB32"/>
    <mergeCell ref="J39:K41"/>
    <mergeCell ref="AY5:BB5"/>
    <mergeCell ref="AR7:AS7"/>
    <mergeCell ref="AI15:AQ15"/>
    <mergeCell ref="AT13:AU13"/>
    <mergeCell ref="AT7:AU7"/>
    <mergeCell ref="N24:O26"/>
    <mergeCell ref="V21:W23"/>
    <mergeCell ref="P24:Q26"/>
    <mergeCell ref="AT16:AU16"/>
    <mergeCell ref="D19:E19"/>
    <mergeCell ref="P33:Q35"/>
    <mergeCell ref="F19:G19"/>
    <mergeCell ref="R33:S35"/>
    <mergeCell ref="R19:S19"/>
    <mergeCell ref="AN24:AO26"/>
    <mergeCell ref="AI7:AQ7"/>
    <mergeCell ref="AT8:AU8"/>
    <mergeCell ref="AI16:AQ16"/>
    <mergeCell ref="AP33:AQ35"/>
    <mergeCell ref="X24:AI26"/>
    <mergeCell ref="V19:W19"/>
    <mergeCell ref="AR2:AS3"/>
    <mergeCell ref="F20:G20"/>
    <mergeCell ref="X19:Y19"/>
    <mergeCell ref="AT2:AU3"/>
    <mergeCell ref="AT24:AU26"/>
    <mergeCell ref="AP19:AQ19"/>
    <mergeCell ref="T8:AE8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L20:M20"/>
    <mergeCell ref="P9:S9"/>
    <mergeCell ref="AZ27:BB29"/>
    <mergeCell ref="H36:I38"/>
    <mergeCell ref="AF20:AG20"/>
    <mergeCell ref="AV19:AW19"/>
    <mergeCell ref="J36:K38"/>
    <mergeCell ref="H19:I19"/>
    <mergeCell ref="T27:AE29"/>
    <mergeCell ref="O2:O3"/>
    <mergeCell ref="AJ33:AK35"/>
    <mergeCell ref="AB36:AC38"/>
    <mergeCell ref="AN27:AO29"/>
    <mergeCell ref="AR5:AS5"/>
    <mergeCell ref="AD36:AE38"/>
    <mergeCell ref="AP27:AQ29"/>
    <mergeCell ref="D21:S23"/>
    <mergeCell ref="V36:W38"/>
    <mergeCell ref="AH39:AI41"/>
    <mergeCell ref="AP36:AQ38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AT36:AU38"/>
    <mergeCell ref="L36:M38"/>
    <mergeCell ref="D39:E41"/>
    <mergeCell ref="AV36:AW38"/>
    <mergeCell ref="F39:G41"/>
    <mergeCell ref="N30:O32"/>
    <mergeCell ref="P30:Q32"/>
    <mergeCell ref="AX39:AY41"/>
    <mergeCell ref="R39:S41"/>
    <mergeCell ref="H30:I32"/>
    <mergeCell ref="Z30:AA32"/>
    <mergeCell ref="T39:U41"/>
    <mergeCell ref="AI6:AQ6"/>
    <mergeCell ref="AB30:AC32"/>
    <mergeCell ref="P13:S13"/>
    <mergeCell ref="AY10:BB10"/>
    <mergeCell ref="A19:C20"/>
    <mergeCell ref="AP21:AQ23"/>
    <mergeCell ref="AI18:AU18"/>
    <mergeCell ref="O18:S18"/>
    <mergeCell ref="AY7:BB7"/>
    <mergeCell ref="AF27:AM29"/>
    <mergeCell ref="AY16:BB16"/>
    <mergeCell ref="AI4:AQ4"/>
    <mergeCell ref="X39:Y41"/>
    <mergeCell ref="P15:S15"/>
    <mergeCell ref="AJ21:AK23"/>
    <mergeCell ref="AR8:AS8"/>
    <mergeCell ref="AJ39:AK41"/>
    <mergeCell ref="AV21:AW23"/>
    <mergeCell ref="F24:G26"/>
    <mergeCell ref="AX21:AY23"/>
    <mergeCell ref="AY18:BB18"/>
    <mergeCell ref="AP24:AQ26"/>
    <mergeCell ref="AD19:AE19"/>
    <mergeCell ref="R24:S26"/>
    <mergeCell ref="AR10:AS10"/>
    <mergeCell ref="T13:AE13"/>
    <mergeCell ref="T7:AE7"/>
    <mergeCell ref="AZ21:BB23"/>
    <mergeCell ref="J24:K26"/>
    <mergeCell ref="AY2:BB3"/>
    <mergeCell ref="T16:AE16"/>
    <mergeCell ref="L24:M26"/>
    <mergeCell ref="T21:U23"/>
    <mergeCell ref="R20:S20"/>
    <mergeCell ref="V24:W26"/>
    <mergeCell ref="AR16:AS16"/>
    <mergeCell ref="D33:O35"/>
    <mergeCell ref="AT10:AU10"/>
    <mergeCell ref="R27:S29"/>
    <mergeCell ref="AT19:AU19"/>
    <mergeCell ref="AR24:AS26"/>
    <mergeCell ref="N19:O19"/>
    <mergeCell ref="T18:AE18"/>
    <mergeCell ref="R36:S38"/>
    <mergeCell ref="AR33:AS35"/>
    <mergeCell ref="P19:Q19"/>
    <mergeCell ref="AI8:AQ8"/>
    <mergeCell ref="AI17:AQ17"/>
    <mergeCell ref="AT9:AU9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D30:E32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D39:AE41"/>
    <mergeCell ref="P5:S5"/>
    <mergeCell ref="F30:G32"/>
    <mergeCell ref="AL36:AM38"/>
    <mergeCell ref="AL30:AM32"/>
    <mergeCell ref="AP39:AQ41"/>
    <mergeCell ref="AF39:AG41"/>
    <mergeCell ref="AN30:AO32"/>
    <mergeCell ref="A27:C29"/>
    <mergeCell ref="AR39:AS41"/>
    <mergeCell ref="P14:S14"/>
    <mergeCell ref="AT20:AU20"/>
    <mergeCell ref="AT14:AU14"/>
    <mergeCell ref="P4:S4"/>
    <mergeCell ref="A33:C35"/>
    <mergeCell ref="AR4:AS4"/>
    <mergeCell ref="L39:M41"/>
    <mergeCell ref="AI12:AQ12"/>
    <mergeCell ref="AT4:AU4"/>
    <mergeCell ref="AV39:AW41"/>
    <mergeCell ref="N39:O41"/>
    <mergeCell ref="V30:W32"/>
    <mergeCell ref="X30:Y32"/>
    <mergeCell ref="AY8:BB8"/>
    <mergeCell ref="AY17:BB17"/>
    <mergeCell ref="AI14:AQ14"/>
    <mergeCell ref="AT15:AU15"/>
    <mergeCell ref="AZ39:BB41"/>
    <mergeCell ref="P8:S8"/>
    <mergeCell ref="AI13:AQ13"/>
    <mergeCell ref="T15:AE15"/>
    <mergeCell ref="X21:AI23"/>
    <mergeCell ref="AJ24:AK26"/>
    <mergeCell ref="AR21:AS23"/>
    <mergeCell ref="AL24:AM26"/>
    <mergeCell ref="AT21:AU23"/>
    <mergeCell ref="A39:C41"/>
    <mergeCell ref="AY9:BB9"/>
    <mergeCell ref="Z19:AA19"/>
    <mergeCell ref="D24:E26"/>
    <mergeCell ref="AV24:AW26"/>
    <mergeCell ref="AB19:AC19"/>
    <mergeCell ref="P7:S7"/>
    <mergeCell ref="AX24:AY26"/>
    <mergeCell ref="P16:S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4"/>
    <outlinePr summaryBelow="1" summaryRight="1"/>
    <pageSetUpPr/>
  </sheetPr>
  <dimension ref="A1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ยธ.4-203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5" t="n"/>
      <c r="E21" s="1007" t="n"/>
      <c r="F21" s="1008" t="n"/>
      <c r="G21" s="1007" t="n"/>
      <c r="H21" s="1008" t="n"/>
      <c r="I21" s="1007" t="n"/>
      <c r="J21" s="1008" t="n"/>
      <c r="K21" s="1007" t="n"/>
      <c r="L21" s="1067" t="inlineStr">
        <is>
          <t>ENGCV502 Construction Engineering and Management อ.พรพจน์ (2,0) อ.ดิษฐิเดช  (1,0) ยธ 4-203</t>
        </is>
      </c>
      <c r="M21" s="1006" t="n"/>
      <c r="N21" s="1006" t="n"/>
      <c r="O21" s="1006" t="n"/>
      <c r="P21" s="1006" t="n"/>
      <c r="Q21" s="1006" t="n"/>
      <c r="R21" s="1006" t="n"/>
      <c r="S21" s="1006" t="n"/>
      <c r="T21" s="1006" t="n"/>
      <c r="U21" s="1006" t="n"/>
      <c r="V21" s="1006" t="n"/>
      <c r="W21" s="1007" t="n"/>
      <c r="X21" s="1068" t="inlineStr">
        <is>
          <t>TEDCV033 ชลศาสตร์ (ท2)
อ.ประดิษฐ์ อ.อัครพงษ์
ค.อ.บ.ยธ. ปี 3</t>
        </is>
      </c>
      <c r="Y21" s="1006" t="n"/>
      <c r="Z21" s="1006" t="n"/>
      <c r="AA21" s="1006" t="n"/>
      <c r="AB21" s="1006" t="n"/>
      <c r="AC21" s="1006" t="n"/>
      <c r="AD21" s="1006" t="n"/>
      <c r="AE21" s="1007" t="n"/>
      <c r="AF21" s="1008" t="n"/>
      <c r="AG21" s="1007" t="n"/>
      <c r="AH21" s="1008" t="n"/>
      <c r="AI21" s="1007" t="n"/>
      <c r="AJ21" s="891" t="n"/>
      <c r="AK21" s="998" t="n"/>
      <c r="AL21" s="891" t="n"/>
      <c r="AM21" s="998" t="n"/>
      <c r="AN21" s="1067" t="inlineStr">
        <is>
          <t>ENGCV501 อ.ดิษฐิเดช (2,0) ยธ 4-203</t>
        </is>
      </c>
      <c r="AO21" s="1006" t="n"/>
      <c r="AP21" s="1006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E22" s="1012" t="n"/>
      <c r="F22" s="1011" t="n"/>
      <c r="G22" s="1012" t="n"/>
      <c r="H22" s="1011" t="n"/>
      <c r="I22" s="1012" t="n"/>
      <c r="J22" s="1011" t="n"/>
      <c r="K22" s="1012" t="n"/>
      <c r="L22" s="1011" t="n"/>
      <c r="W22" s="1012" t="n"/>
      <c r="X22" s="1011" t="n"/>
      <c r="AE22" s="1012" t="n"/>
      <c r="AF22" s="1011" t="n"/>
      <c r="AG22" s="1012" t="n"/>
      <c r="AH22" s="1011" t="n"/>
      <c r="AI22" s="1012" t="n"/>
      <c r="AJ22" s="1009" t="n"/>
      <c r="AK22" s="1010" t="n"/>
      <c r="AL22" s="1009" t="n"/>
      <c r="AM22" s="1010" t="n"/>
      <c r="AN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5" t="n"/>
      <c r="F23" s="1013" t="n"/>
      <c r="G23" s="1015" t="n"/>
      <c r="H23" s="1013" t="n"/>
      <c r="I23" s="1015" t="n"/>
      <c r="J23" s="1013" t="n"/>
      <c r="K23" s="1015" t="n"/>
      <c r="L23" s="1013" t="n"/>
      <c r="M23" s="1014" t="n"/>
      <c r="N23" s="1014" t="n"/>
      <c r="O23" s="1014" t="n"/>
      <c r="P23" s="1014" t="n"/>
      <c r="Q23" s="1014" t="n"/>
      <c r="R23" s="1014" t="n"/>
      <c r="S23" s="1014" t="n"/>
      <c r="T23" s="1014" t="n"/>
      <c r="U23" s="1014" t="n"/>
      <c r="V23" s="1014" t="n"/>
      <c r="W23" s="1015" t="n"/>
      <c r="X23" s="1013" t="n"/>
      <c r="Y23" s="1014" t="n"/>
      <c r="Z23" s="1014" t="n"/>
      <c r="AA23" s="1014" t="n"/>
      <c r="AB23" s="1014" t="n"/>
      <c r="AC23" s="1014" t="n"/>
      <c r="AD23" s="1014" t="n"/>
      <c r="AE23" s="1015" t="n"/>
      <c r="AF23" s="1013" t="n"/>
      <c r="AG23" s="1015" t="n"/>
      <c r="AH23" s="1013" t="n"/>
      <c r="AI23" s="1015" t="n"/>
      <c r="AJ23" s="1002" t="n"/>
      <c r="AK23" s="1004" t="n"/>
      <c r="AL23" s="1002" t="n"/>
      <c r="AM23" s="1004" t="n"/>
      <c r="AN23" s="1013" t="n"/>
      <c r="AO23" s="1014" t="n"/>
      <c r="AP23" s="1014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1039" t="inlineStr">
        <is>
          <t>ENGCV501 Construction Cost Estimation and Analysis (T) อ.ดิษฐิเดช (2,0) ยธ 4-203</t>
        </is>
      </c>
      <c r="E24" s="1006" t="n"/>
      <c r="F24" s="1006" t="n"/>
      <c r="G24" s="1006" t="n"/>
      <c r="H24" s="1006" t="n"/>
      <c r="I24" s="1006" t="n"/>
      <c r="J24" s="1006" t="n"/>
      <c r="K24" s="1007" t="n"/>
      <c r="L24" s="1039" t="inlineStr">
        <is>
          <t>ENGCV501 Construction Cost Estimation and Analysis (L) อ.ดิษฐิเดช  (0,3) อ.สุทิน (0,3)  ยธ 4-203</t>
        </is>
      </c>
      <c r="M24" s="1006" t="n"/>
      <c r="N24" s="1006" t="n"/>
      <c r="O24" s="1006" t="n"/>
      <c r="P24" s="1006" t="n"/>
      <c r="Q24" s="1006" t="n"/>
      <c r="R24" s="1006" t="n"/>
      <c r="S24" s="1006" t="n"/>
      <c r="T24" s="1006" t="n"/>
      <c r="U24" s="1006" t="n"/>
      <c r="V24" s="1006" t="n"/>
      <c r="W24" s="1007" t="n"/>
      <c r="X24" s="1039" t="inlineStr">
        <is>
          <t>ENGCV501 Construction Cost Estimation and Analysis (T) อ.ดิษฐิเดช (2,0) ยธ 4-203</t>
        </is>
      </c>
      <c r="Y24" s="1006" t="n"/>
      <c r="Z24" s="1006" t="n"/>
      <c r="AA24" s="1006" t="n"/>
      <c r="AB24" s="1006" t="n"/>
      <c r="AC24" s="1006" t="n"/>
      <c r="AD24" s="1006" t="n"/>
      <c r="AE24" s="1007" t="n"/>
      <c r="AF24" s="1039" t="inlineStr">
        <is>
          <t>ENGCV501 Construction Cost Estimation and Analysis (L) อ.สุทิน (0,3) อ.ดิษฐิเดช(0,3) ยธ 4-203</t>
        </is>
      </c>
      <c r="AG24" s="1006" t="n"/>
      <c r="AH24" s="1006" t="n"/>
      <c r="AI24" s="1006" t="n"/>
      <c r="AJ24" s="1006" t="n"/>
      <c r="AK24" s="1006" t="n"/>
      <c r="AL24" s="1006" t="n"/>
      <c r="AM24" s="1006" t="n"/>
      <c r="AN24" s="1006" t="n"/>
      <c r="AO24" s="1006" t="n"/>
      <c r="AP24" s="1006" t="n"/>
      <c r="AQ24" s="1007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11" t="n"/>
      <c r="K25" s="1012" t="n"/>
      <c r="L25" s="1011" t="n"/>
      <c r="W25" s="1012" t="n"/>
      <c r="X25" s="1011" t="n"/>
      <c r="AE25" s="1012" t="n"/>
      <c r="AF25" s="1011" t="n"/>
      <c r="AQ25" s="1012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13" t="n"/>
      <c r="E26" s="1014" t="n"/>
      <c r="F26" s="1014" t="n"/>
      <c r="G26" s="1014" t="n"/>
      <c r="H26" s="1014" t="n"/>
      <c r="I26" s="1014" t="n"/>
      <c r="J26" s="1014" t="n"/>
      <c r="K26" s="1015" t="n"/>
      <c r="L26" s="1013" t="n"/>
      <c r="M26" s="1014" t="n"/>
      <c r="N26" s="1014" t="n"/>
      <c r="O26" s="1014" t="n"/>
      <c r="P26" s="1014" t="n"/>
      <c r="Q26" s="1014" t="n"/>
      <c r="R26" s="1014" t="n"/>
      <c r="S26" s="1014" t="n"/>
      <c r="T26" s="1014" t="n"/>
      <c r="U26" s="1014" t="n"/>
      <c r="V26" s="1014" t="n"/>
      <c r="W26" s="1015" t="n"/>
      <c r="X26" s="1013" t="n"/>
      <c r="Y26" s="1014" t="n"/>
      <c r="Z26" s="1014" t="n"/>
      <c r="AA26" s="1014" t="n"/>
      <c r="AB26" s="1014" t="n"/>
      <c r="AC26" s="1014" t="n"/>
      <c r="AD26" s="1014" t="n"/>
      <c r="AE26" s="1015" t="n"/>
      <c r="AF26" s="1013" t="n"/>
      <c r="AG26" s="1014" t="n"/>
      <c r="AH26" s="1014" t="n"/>
      <c r="AI26" s="1014" t="n"/>
      <c r="AJ26" s="1014" t="n"/>
      <c r="AK26" s="1014" t="n"/>
      <c r="AL26" s="1014" t="n"/>
      <c r="AM26" s="1014" t="n"/>
      <c r="AN26" s="1014" t="n"/>
      <c r="AO26" s="1014" t="n"/>
      <c r="AP26" s="1014" t="n"/>
      <c r="AQ26" s="1015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7" t="inlineStr">
        <is>
          <t>ENGCV104 Concrete Technology (T) อ.ฟองจันทร์ (2,0) ยธ 4-203</t>
        </is>
      </c>
      <c r="E27" s="1006" t="n"/>
      <c r="F27" s="1006" t="n"/>
      <c r="G27" s="1006" t="n"/>
      <c r="H27" s="1006" t="n"/>
      <c r="I27" s="1006" t="n"/>
      <c r="J27" s="1006" t="n"/>
      <c r="K27" s="1007" t="n"/>
      <c r="L27" s="247" t="n"/>
      <c r="M27" s="998" t="n"/>
      <c r="N27" s="247" t="n"/>
      <c r="O27" s="998" t="n"/>
      <c r="P27" s="247" t="n"/>
      <c r="Q27" s="998" t="n"/>
      <c r="R27" s="247" t="n"/>
      <c r="S27" s="998" t="n"/>
      <c r="T27" s="1066" t="n"/>
      <c r="U27" s="1007" t="n"/>
      <c r="V27" s="1008" t="n"/>
      <c r="W27" s="1007" t="n"/>
      <c r="X27" s="1008" t="n"/>
      <c r="Y27" s="1007" t="n"/>
      <c r="Z27" s="1008" t="n"/>
      <c r="AA27" s="1007" t="n"/>
      <c r="AB27" s="1008" t="n"/>
      <c r="AC27" s="1007" t="n"/>
      <c r="AD27" s="1008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K28" s="1012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11" t="n"/>
      <c r="U28" s="1012" t="n"/>
      <c r="V28" s="1011" t="n"/>
      <c r="W28" s="1012" t="n"/>
      <c r="X28" s="1011" t="n"/>
      <c r="Y28" s="1012" t="n"/>
      <c r="Z28" s="1011" t="n"/>
      <c r="AA28" s="1012" t="n"/>
      <c r="AB28" s="1011" t="n"/>
      <c r="AC28" s="1012" t="n"/>
      <c r="AD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5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13" t="n"/>
      <c r="U29" s="1015" t="n"/>
      <c r="V29" s="1013" t="n"/>
      <c r="W29" s="1015" t="n"/>
      <c r="X29" s="1013" t="n"/>
      <c r="Y29" s="1015" t="n"/>
      <c r="Z29" s="1013" t="n"/>
      <c r="AA29" s="1015" t="n"/>
      <c r="AB29" s="1013" t="n"/>
      <c r="AC29" s="1015" t="n"/>
      <c r="AD29" s="1013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39" t="inlineStr">
        <is>
          <t>ENGCV109 Timber and Steel Design (T) อ.ฟองจันทร์ (1,0) อ.บุปผเวช (1,0) ยธ 4-203</t>
        </is>
      </c>
      <c r="E30" s="1006" t="n"/>
      <c r="F30" s="1006" t="n"/>
      <c r="G30" s="1006" t="n"/>
      <c r="H30" s="1006" t="n"/>
      <c r="I30" s="1006" t="n"/>
      <c r="J30" s="1006" t="n"/>
      <c r="K30" s="1007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11" t="n"/>
      <c r="K31" s="1012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4" t="n"/>
      <c r="F32" s="1014" t="n"/>
      <c r="G32" s="1014" t="n"/>
      <c r="H32" s="1014" t="n"/>
      <c r="I32" s="1014" t="n"/>
      <c r="J32" s="1014" t="n"/>
      <c r="K32" s="1015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39" t="inlineStr">
        <is>
          <t>ENGCV109 Timber and Steel Design (L) อ.ฟองจันทร์ (0,3) อ.บุปผเวช (0,3) ยธ 4-203</t>
        </is>
      </c>
      <c r="E33" s="1006" t="n"/>
      <c r="F33" s="1006" t="n"/>
      <c r="G33" s="1006" t="n"/>
      <c r="H33" s="1006" t="n"/>
      <c r="I33" s="1006" t="n"/>
      <c r="J33" s="1006" t="n"/>
      <c r="K33" s="1006" t="n"/>
      <c r="L33" s="1006" t="n"/>
      <c r="M33" s="1006" t="n"/>
      <c r="N33" s="1006" t="n"/>
      <c r="O33" s="1007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39" t="inlineStr">
        <is>
          <t>ENGCV401 Highway Engineering อ.ชาคริต sec 1 (3,0) ยธ 4-203</t>
        </is>
      </c>
      <c r="Y33" s="1006" t="n"/>
      <c r="Z33" s="1006" t="n"/>
      <c r="AA33" s="1006" t="n"/>
      <c r="AB33" s="1006" t="n"/>
      <c r="AC33" s="1006" t="n"/>
      <c r="AD33" s="1006" t="n"/>
      <c r="AE33" s="1006" t="n"/>
      <c r="AF33" s="1006" t="n"/>
      <c r="AG33" s="1006" t="n"/>
      <c r="AH33" s="1006" t="n"/>
      <c r="AI33" s="1007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11" t="n"/>
      <c r="O34" s="1012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11" t="n"/>
      <c r="AI34" s="1012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4" t="n"/>
      <c r="F35" s="1014" t="n"/>
      <c r="G35" s="1014" t="n"/>
      <c r="H35" s="1014" t="n"/>
      <c r="I35" s="1014" t="n"/>
      <c r="J35" s="1014" t="n"/>
      <c r="K35" s="1014" t="n"/>
      <c r="L35" s="1014" t="n"/>
      <c r="M35" s="1014" t="n"/>
      <c r="N35" s="1014" t="n"/>
      <c r="O35" s="1015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4" t="n"/>
      <c r="AF35" s="1014" t="n"/>
      <c r="AG35" s="1014" t="n"/>
      <c r="AH35" s="1014" t="n"/>
      <c r="AI35" s="1015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1039" t="inlineStr">
        <is>
          <t>ENGCV501 อ.ดิษฐิเดช  (0,3) อ.สุทิน (0,3) ยธ 4-203</t>
        </is>
      </c>
      <c r="E39" s="1006" t="n"/>
      <c r="F39" s="1006" t="n"/>
      <c r="G39" s="1006" t="n"/>
      <c r="H39" s="1006" t="n"/>
      <c r="I39" s="1006" t="n"/>
      <c r="J39" s="1006" t="n"/>
      <c r="K39" s="1006" t="n"/>
      <c r="L39" s="1006" t="n"/>
      <c r="M39" s="1006" t="n"/>
      <c r="N39" s="1006" t="n"/>
      <c r="O39" s="1007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11" t="n"/>
      <c r="O40" s="1012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13" t="n"/>
      <c r="E41" s="1014" t="n"/>
      <c r="F41" s="1014" t="n"/>
      <c r="G41" s="1014" t="n"/>
      <c r="H41" s="1014" t="n"/>
      <c r="I41" s="1014" t="n"/>
      <c r="J41" s="1014" t="n"/>
      <c r="K41" s="1014" t="n"/>
      <c r="L41" s="1014" t="n"/>
      <c r="M41" s="1014" t="n"/>
      <c r="N41" s="1014" t="n"/>
      <c r="O41" s="1015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282">
    <mergeCell ref="AT17:AU17"/>
    <mergeCell ref="AY11:BB11"/>
    <mergeCell ref="D20:E20"/>
    <mergeCell ref="AF24:AQ26"/>
    <mergeCell ref="T10:AE10"/>
    <mergeCell ref="C5:K9"/>
    <mergeCell ref="N20:O20"/>
    <mergeCell ref="AZ24:BB26"/>
    <mergeCell ref="AZ33:BB35"/>
    <mergeCell ref="P20:Q20"/>
    <mergeCell ref="L27:M29"/>
    <mergeCell ref="AX19:AY19"/>
    <mergeCell ref="AI2:AQ3"/>
    <mergeCell ref="N27:O29"/>
    <mergeCell ref="T33:U35"/>
    <mergeCell ref="J19:K19"/>
    <mergeCell ref="V33:W35"/>
    <mergeCell ref="X27:Y29"/>
    <mergeCell ref="AN33:AO35"/>
    <mergeCell ref="AF36:AG38"/>
    <mergeCell ref="Z27:AA29"/>
    <mergeCell ref="N36:O38"/>
    <mergeCell ref="T9:AE9"/>
    <mergeCell ref="L19:M19"/>
    <mergeCell ref="AR27:AS29"/>
    <mergeCell ref="AY6:BB6"/>
    <mergeCell ref="AT27:AU29"/>
    <mergeCell ref="P2:S3"/>
    <mergeCell ref="AR9:AS9"/>
    <mergeCell ref="AY15:BB15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P36:Q38"/>
    <mergeCell ref="AX36:AY38"/>
    <mergeCell ref="AR13:AS13"/>
    <mergeCell ref="R30:S32"/>
    <mergeCell ref="T6:AE6"/>
    <mergeCell ref="L30:M32"/>
    <mergeCell ref="V39:W41"/>
    <mergeCell ref="AD30:AE32"/>
    <mergeCell ref="X20:Y20"/>
    <mergeCell ref="AF30:AG32"/>
    <mergeCell ref="AR6:AS6"/>
    <mergeCell ref="AY13:BB13"/>
    <mergeCell ref="AY4:BB4"/>
    <mergeCell ref="AR15:AS15"/>
    <mergeCell ref="D39:O41"/>
    <mergeCell ref="P6:S6"/>
    <mergeCell ref="P39:Q41"/>
    <mergeCell ref="AI5:AQ5"/>
    <mergeCell ref="AH36:AI38"/>
    <mergeCell ref="Z39:AA41"/>
    <mergeCell ref="AH30:AI32"/>
    <mergeCell ref="AB39:AC41"/>
    <mergeCell ref="AL21:AM23"/>
    <mergeCell ref="AJ30:AK32"/>
    <mergeCell ref="AR12:AS12"/>
    <mergeCell ref="A24:C26"/>
    <mergeCell ref="AL39:AM41"/>
    <mergeCell ref="AT30:AU32"/>
    <mergeCell ref="AN39:AO41"/>
    <mergeCell ref="T14:AE14"/>
    <mergeCell ref="AV30:AW32"/>
    <mergeCell ref="AX30:AY32"/>
    <mergeCell ref="T4:AE4"/>
    <mergeCell ref="J21:K23"/>
    <mergeCell ref="AZ30:BB32"/>
    <mergeCell ref="AY5:BB5"/>
    <mergeCell ref="AR7:AS7"/>
    <mergeCell ref="AI15:AQ15"/>
    <mergeCell ref="AT13:AU13"/>
    <mergeCell ref="AT7:AU7"/>
    <mergeCell ref="AT16:AU16"/>
    <mergeCell ref="D19:E19"/>
    <mergeCell ref="P33:Q35"/>
    <mergeCell ref="F19:G19"/>
    <mergeCell ref="R33:S35"/>
    <mergeCell ref="AN21:AQ23"/>
    <mergeCell ref="R19:S19"/>
    <mergeCell ref="L24:W26"/>
    <mergeCell ref="AI7:AQ7"/>
    <mergeCell ref="AT8:AU8"/>
    <mergeCell ref="AI16:AQ16"/>
    <mergeCell ref="AP33:AQ35"/>
    <mergeCell ref="V19:W19"/>
    <mergeCell ref="AR2:AS3"/>
    <mergeCell ref="F20:G20"/>
    <mergeCell ref="X19:Y19"/>
    <mergeCell ref="AT2:AU3"/>
    <mergeCell ref="AT24:AU26"/>
    <mergeCell ref="AP19:AQ19"/>
    <mergeCell ref="T8:AE8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L20:M20"/>
    <mergeCell ref="P9:S9"/>
    <mergeCell ref="AZ27:BB29"/>
    <mergeCell ref="H36:I38"/>
    <mergeCell ref="AF20:AG20"/>
    <mergeCell ref="AV19:AW19"/>
    <mergeCell ref="J36:K38"/>
    <mergeCell ref="H19:I19"/>
    <mergeCell ref="O2:O3"/>
    <mergeCell ref="V27:W29"/>
    <mergeCell ref="AJ33:AK35"/>
    <mergeCell ref="AB36:AC38"/>
    <mergeCell ref="AN27:AO29"/>
    <mergeCell ref="AR5:AS5"/>
    <mergeCell ref="AD36:AE38"/>
    <mergeCell ref="AP27:AQ29"/>
    <mergeCell ref="V36:W38"/>
    <mergeCell ref="AH39:AI41"/>
    <mergeCell ref="AP36:AQ38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D24:K26"/>
    <mergeCell ref="AT36:AU38"/>
    <mergeCell ref="L36:M38"/>
    <mergeCell ref="AV36:AW38"/>
    <mergeCell ref="N30:O32"/>
    <mergeCell ref="P30:Q32"/>
    <mergeCell ref="AX39:AY41"/>
    <mergeCell ref="R39:S41"/>
    <mergeCell ref="Z30:AA32"/>
    <mergeCell ref="T39:U41"/>
    <mergeCell ref="AI6:AQ6"/>
    <mergeCell ref="AB30:AC32"/>
    <mergeCell ref="P13:S13"/>
    <mergeCell ref="AY10:BB10"/>
    <mergeCell ref="A19:C20"/>
    <mergeCell ref="AI18:AU18"/>
    <mergeCell ref="O18:S18"/>
    <mergeCell ref="AY7:BB7"/>
    <mergeCell ref="AF27:AM29"/>
    <mergeCell ref="AY16:BB16"/>
    <mergeCell ref="AI4:AQ4"/>
    <mergeCell ref="X39:Y41"/>
    <mergeCell ref="P15:S15"/>
    <mergeCell ref="AH21:AI23"/>
    <mergeCell ref="AJ21:AK23"/>
    <mergeCell ref="D21:E23"/>
    <mergeCell ref="AR8:AS8"/>
    <mergeCell ref="AJ39:AK41"/>
    <mergeCell ref="AV21:AW23"/>
    <mergeCell ref="AX21:AY23"/>
    <mergeCell ref="AY18:BB18"/>
    <mergeCell ref="AD19:AE19"/>
    <mergeCell ref="AR10:AS10"/>
    <mergeCell ref="T13:AE13"/>
    <mergeCell ref="T7:AE7"/>
    <mergeCell ref="AZ21:BB23"/>
    <mergeCell ref="AY2:BB3"/>
    <mergeCell ref="T16:AE16"/>
    <mergeCell ref="R20:S20"/>
    <mergeCell ref="AR16:AS16"/>
    <mergeCell ref="D33:O35"/>
    <mergeCell ref="AT10:AU10"/>
    <mergeCell ref="R27:S29"/>
    <mergeCell ref="AT19:AU19"/>
    <mergeCell ref="AR24:AS26"/>
    <mergeCell ref="N19:O19"/>
    <mergeCell ref="T18:AE18"/>
    <mergeCell ref="R36:S38"/>
    <mergeCell ref="AR33:AS35"/>
    <mergeCell ref="P19:Q19"/>
    <mergeCell ref="AI8:AQ8"/>
    <mergeCell ref="AB27:AC29"/>
    <mergeCell ref="AD27:AE29"/>
    <mergeCell ref="AI17:AQ17"/>
    <mergeCell ref="AT9:AU9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AV2:AX2"/>
    <mergeCell ref="H20:I20"/>
    <mergeCell ref="AZ20:BB20"/>
    <mergeCell ref="AT6:AU6"/>
    <mergeCell ref="AB20:AC20"/>
    <mergeCell ref="X21:AE23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D39:AE41"/>
    <mergeCell ref="P5:S5"/>
    <mergeCell ref="AL36:AM38"/>
    <mergeCell ref="AL30:AM32"/>
    <mergeCell ref="AF39:AG41"/>
    <mergeCell ref="AP39:AQ41"/>
    <mergeCell ref="AN30:AO32"/>
    <mergeCell ref="P14:S14"/>
    <mergeCell ref="A27:C29"/>
    <mergeCell ref="AR39:AS41"/>
    <mergeCell ref="AT20:AU20"/>
    <mergeCell ref="AT14:AU14"/>
    <mergeCell ref="P4:S4"/>
    <mergeCell ref="D27:K29"/>
    <mergeCell ref="A33:C35"/>
    <mergeCell ref="AR4:AS4"/>
    <mergeCell ref="AI12:AQ12"/>
    <mergeCell ref="AT4:AU4"/>
    <mergeCell ref="AV39:AW41"/>
    <mergeCell ref="F21:G23"/>
    <mergeCell ref="H21:I23"/>
    <mergeCell ref="V30:W32"/>
    <mergeCell ref="X30:Y32"/>
    <mergeCell ref="AY8:BB8"/>
    <mergeCell ref="AY17:BB17"/>
    <mergeCell ref="X24:AE26"/>
    <mergeCell ref="AI14:AQ14"/>
    <mergeCell ref="AT15:AU15"/>
    <mergeCell ref="AZ39:BB41"/>
    <mergeCell ref="P8:S8"/>
    <mergeCell ref="L21:W23"/>
    <mergeCell ref="AI13:AQ13"/>
    <mergeCell ref="AF21:AG23"/>
    <mergeCell ref="T15:AE15"/>
    <mergeCell ref="AR21:AS23"/>
    <mergeCell ref="AT21:AU23"/>
    <mergeCell ref="A39:C41"/>
    <mergeCell ref="AY9:BB9"/>
    <mergeCell ref="Z19:AA19"/>
    <mergeCell ref="AV24:AW26"/>
    <mergeCell ref="AB19:AC19"/>
    <mergeCell ref="P7:S7"/>
    <mergeCell ref="AX24:AY26"/>
    <mergeCell ref="P16:S16"/>
    <mergeCell ref="T27:U29"/>
    <mergeCell ref="D30:K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4"/>
    <outlinePr summaryBelow="1" summaryRight="1"/>
    <pageSetUpPr/>
  </sheetPr>
  <dimension ref="A1:BB41"/>
  <sheetViews>
    <sheetView topLeftCell="A10" workbookViewId="0">
      <selection activeCell="AJ36" sqref="AJ36:AU38"/>
    </sheetView>
  </sheetViews>
  <sheetFormatPr baseColWidth="8" defaultRowHeight="18"/>
  <cols>
    <col width="3.5703125" customWidth="1" style="937" min="1" max="5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LAB Concrete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49" t="inlineStr">
        <is>
          <t>ENGCV104  Concrete Technology (T) อ.ฟองจันทร์ (2,0) ยธ 6-203</t>
        </is>
      </c>
      <c r="E21" s="997" t="n"/>
      <c r="F21" s="997" t="n"/>
      <c r="G21" s="997" t="n"/>
      <c r="H21" s="997" t="n"/>
      <c r="I21" s="997" t="n"/>
      <c r="J21" s="997" t="n"/>
      <c r="K21" s="998" t="n"/>
      <c r="L21" s="247" t="n"/>
      <c r="M21" s="998" t="n"/>
      <c r="N21" s="247" t="n"/>
      <c r="O21" s="998" t="n"/>
      <c r="P21" s="247" t="n"/>
      <c r="Q21" s="998" t="n"/>
      <c r="R21" s="247" t="n"/>
      <c r="S21" s="998" t="n"/>
      <c r="T21" s="247" t="n"/>
      <c r="U21" s="998" t="n"/>
      <c r="V21" s="247" t="n"/>
      <c r="W21" s="998" t="n"/>
      <c r="X21" s="1050" t="inlineStr">
        <is>
          <t>ENGCV104 Concrete Technology (L)                อ.ฟองจันทร์ (0,3) อ.สัตยา (0,3) Lab concrete</t>
        </is>
      </c>
      <c r="Y21" s="997" t="n"/>
      <c r="Z21" s="997" t="n"/>
      <c r="AA21" s="997" t="n"/>
      <c r="AB21" s="997" t="n"/>
      <c r="AC21" s="997" t="n"/>
      <c r="AD21" s="997" t="n"/>
      <c r="AE21" s="997" t="n"/>
      <c r="AF21" s="997" t="n"/>
      <c r="AG21" s="997" t="n"/>
      <c r="AH21" s="997" t="n"/>
      <c r="AI21" s="998" t="n"/>
      <c r="AJ21" s="891" t="n"/>
      <c r="AK21" s="998" t="n"/>
      <c r="AL21" s="891" t="n"/>
      <c r="AM21" s="998" t="n"/>
      <c r="AN21" s="1051" t="inlineStr">
        <is>
          <t>ENGCV104  Concrete Technology (T) อ.ฝ้าย (2,0) ยธ 6-104</t>
        </is>
      </c>
      <c r="AO21" s="997" t="n"/>
      <c r="AP21" s="997" t="n"/>
      <c r="AQ21" s="997" t="n"/>
      <c r="AR21" s="997" t="n"/>
      <c r="AS21" s="997" t="n"/>
      <c r="AT21" s="997" t="n"/>
      <c r="AU21" s="99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AI22" s="1010" t="n"/>
      <c r="AJ22" s="1009" t="n"/>
      <c r="AK22" s="1010" t="n"/>
      <c r="AL22" s="1009" t="n"/>
      <c r="AM22" s="1010" t="n"/>
      <c r="AN22" s="1009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3" t="n"/>
      <c r="F23" s="1003" t="n"/>
      <c r="G23" s="1003" t="n"/>
      <c r="H23" s="1003" t="n"/>
      <c r="I23" s="1003" t="n"/>
      <c r="J23" s="1003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3" t="n"/>
      <c r="Z23" s="1003" t="n"/>
      <c r="AA23" s="1003" t="n"/>
      <c r="AB23" s="1003" t="n"/>
      <c r="AC23" s="1003" t="n"/>
      <c r="AD23" s="1003" t="n"/>
      <c r="AE23" s="1003" t="n"/>
      <c r="AF23" s="1003" t="n"/>
      <c r="AG23" s="1003" t="n"/>
      <c r="AH23" s="1003" t="n"/>
      <c r="AI23" s="1004" t="n"/>
      <c r="AJ23" s="1002" t="n"/>
      <c r="AK23" s="1004" t="n"/>
      <c r="AL23" s="1002" t="n"/>
      <c r="AM23" s="1004" t="n"/>
      <c r="AN23" s="1002" t="n"/>
      <c r="AO23" s="1003" t="n"/>
      <c r="AP23" s="1003" t="n"/>
      <c r="AQ23" s="1003" t="n"/>
      <c r="AR23" s="1003" t="n"/>
      <c r="AS23" s="1003" t="n"/>
      <c r="AT23" s="1003" t="n"/>
      <c r="AU23" s="1003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49" t="inlineStr">
        <is>
          <t>ENGCV104 Concrete Technology (T) อ.ฟองจันทร์ (2,0) ยธ 4-203</t>
        </is>
      </c>
      <c r="E27" s="997" t="n"/>
      <c r="F27" s="997" t="n"/>
      <c r="G27" s="997" t="n"/>
      <c r="H27" s="997" t="n"/>
      <c r="I27" s="997" t="n"/>
      <c r="J27" s="997" t="n"/>
      <c r="K27" s="998" t="n"/>
      <c r="L27" s="247" t="n"/>
      <c r="M27" s="998" t="n"/>
      <c r="N27" s="247" t="n"/>
      <c r="O27" s="998" t="n"/>
      <c r="P27" s="247" t="n"/>
      <c r="Q27" s="998" t="n"/>
      <c r="R27" s="247" t="n"/>
      <c r="S27" s="998" t="n"/>
      <c r="T27" s="1050" t="inlineStr">
        <is>
          <t>ENGCV104 Concrete Technology (L) อ.ฟองจันทร์ (0,3) อ.สัตยา (0,3) Lab concrete</t>
        </is>
      </c>
      <c r="U27" s="997" t="n"/>
      <c r="V27" s="997" t="n"/>
      <c r="W27" s="997" t="n"/>
      <c r="X27" s="997" t="n"/>
      <c r="Y27" s="997" t="n"/>
      <c r="Z27" s="997" t="n"/>
      <c r="AA27" s="997" t="n"/>
      <c r="AB27" s="997" t="n"/>
      <c r="AC27" s="997" t="n"/>
      <c r="AD27" s="997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K28" s="1010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3" t="n"/>
      <c r="F29" s="1003" t="n"/>
      <c r="G29" s="1003" t="n"/>
      <c r="H29" s="1003" t="n"/>
      <c r="I29" s="1003" t="n"/>
      <c r="J29" s="1003" t="n"/>
      <c r="K29" s="1004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02" t="n"/>
      <c r="U29" s="1003" t="n"/>
      <c r="V29" s="1003" t="n"/>
      <c r="W29" s="1003" t="n"/>
      <c r="X29" s="1003" t="n"/>
      <c r="Y29" s="1003" t="n"/>
      <c r="Z29" s="1003" t="n"/>
      <c r="AA29" s="1003" t="n"/>
      <c r="AB29" s="1003" t="n"/>
      <c r="AC29" s="1003" t="n"/>
      <c r="AD29" s="1003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1005" t="inlineStr">
        <is>
          <t>TEDCV009 คอนกรีตเทคโนโลยี (ป3)
อ.โชติกาญจน์
ค.อ.บ.ยธ. ปี 2</t>
        </is>
      </c>
      <c r="AG33" s="1006" t="n"/>
      <c r="AH33" s="1006" t="n"/>
      <c r="AI33" s="1006" t="n"/>
      <c r="AJ33" s="1006" t="n"/>
      <c r="AK33" s="1006" t="n"/>
      <c r="AL33" s="1006" t="n"/>
      <c r="AM33" s="1006" t="n"/>
      <c r="AN33" s="1006" t="n"/>
      <c r="AO33" s="1006" t="n"/>
      <c r="AP33" s="1006" t="n"/>
      <c r="AQ33" s="1007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11" t="n"/>
      <c r="AQ34" s="1012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13" t="n"/>
      <c r="AG35" s="1014" t="n"/>
      <c r="AH35" s="1014" t="n"/>
      <c r="AI35" s="1014" t="n"/>
      <c r="AJ35" s="1014" t="n"/>
      <c r="AK35" s="1014" t="n"/>
      <c r="AL35" s="1014" t="n"/>
      <c r="AM35" s="1014" t="n"/>
      <c r="AN35" s="1014" t="n"/>
      <c r="AO35" s="1014" t="n"/>
      <c r="AP35" s="1014" t="n"/>
      <c r="AQ35" s="1015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8" t="inlineStr">
        <is>
          <t>ENGCV104 Concrete Technology (L)  อ.ฝ้าย (0,3) อ.ธอ (0,3) Lab concrete</t>
        </is>
      </c>
      <c r="AU36" s="1025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U37" s="1025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3" t="n"/>
      <c r="AK38" s="1003" t="n"/>
      <c r="AL38" s="1003" t="n"/>
      <c r="AM38" s="1003" t="n"/>
      <c r="AN38" s="1003" t="n"/>
      <c r="AO38" s="1003" t="n"/>
      <c r="AP38" s="1003" t="n"/>
      <c r="AQ38" s="1003" t="n"/>
      <c r="AR38" s="1003" t="n"/>
      <c r="AS38" s="1003" t="n"/>
      <c r="AT38" s="1003" t="n"/>
      <c r="AU38" s="1033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299">
    <mergeCell ref="AT17:AU17"/>
    <mergeCell ref="AY11:BB11"/>
    <mergeCell ref="H24:I26"/>
    <mergeCell ref="T10:AE10"/>
    <mergeCell ref="D20:E20"/>
    <mergeCell ref="AZ24:BB26"/>
    <mergeCell ref="N20:O20"/>
    <mergeCell ref="H33:I35"/>
    <mergeCell ref="J33:K35"/>
    <mergeCell ref="P20:Q20"/>
    <mergeCell ref="L27:M29"/>
    <mergeCell ref="AI2:AQ3"/>
    <mergeCell ref="AX19:AY19"/>
    <mergeCell ref="N27:O29"/>
    <mergeCell ref="T24:U26"/>
    <mergeCell ref="T33:U35"/>
    <mergeCell ref="AZ33:BB35"/>
    <mergeCell ref="J19:K19"/>
    <mergeCell ref="V33:W35"/>
    <mergeCell ref="N36:O38"/>
    <mergeCell ref="T9:AE9"/>
    <mergeCell ref="L19:M19"/>
    <mergeCell ref="AD33:AE35"/>
    <mergeCell ref="AF36:AG38"/>
    <mergeCell ref="AR27:AS29"/>
    <mergeCell ref="AY6:BB6"/>
    <mergeCell ref="AT27:AU29"/>
    <mergeCell ref="P2:S3"/>
    <mergeCell ref="AR9:AS9"/>
    <mergeCell ref="AY15:BB15"/>
    <mergeCell ref="V20:W20"/>
    <mergeCell ref="AN20:AO20"/>
    <mergeCell ref="AF2:AH2"/>
    <mergeCell ref="T11:AE11"/>
    <mergeCell ref="AP20:AQ20"/>
    <mergeCell ref="A21:C23"/>
    <mergeCell ref="AH20:AI20"/>
    <mergeCell ref="AY12:BB12"/>
    <mergeCell ref="AT33:AU35"/>
    <mergeCell ref="D21:K23"/>
    <mergeCell ref="AV27:AW29"/>
    <mergeCell ref="AX27:AY29"/>
    <mergeCell ref="AT5:AU5"/>
    <mergeCell ref="P36:Q38"/>
    <mergeCell ref="AX36:AY38"/>
    <mergeCell ref="H39:I41"/>
    <mergeCell ref="AR13:AS13"/>
    <mergeCell ref="R30:S32"/>
    <mergeCell ref="J30:K32"/>
    <mergeCell ref="T6:AE6"/>
    <mergeCell ref="L30:M32"/>
    <mergeCell ref="V39:W41"/>
    <mergeCell ref="AD30:AE32"/>
    <mergeCell ref="X20:Y20"/>
    <mergeCell ref="AF30:AG32"/>
    <mergeCell ref="AR6:AS6"/>
    <mergeCell ref="AJ36:AU38"/>
    <mergeCell ref="AY4:BB4"/>
    <mergeCell ref="AY13:BB13"/>
    <mergeCell ref="AR15:AS15"/>
    <mergeCell ref="AI5:AQ5"/>
    <mergeCell ref="P6:S6"/>
    <mergeCell ref="P39:Q41"/>
    <mergeCell ref="AH36:AI38"/>
    <mergeCell ref="Z39:AA41"/>
    <mergeCell ref="AH30:AI32"/>
    <mergeCell ref="AR12:AS12"/>
    <mergeCell ref="AL21:AM23"/>
    <mergeCell ref="A24:C26"/>
    <mergeCell ref="AJ30:AK32"/>
    <mergeCell ref="AB39:AC41"/>
    <mergeCell ref="AL39:AM41"/>
    <mergeCell ref="AT30:AU32"/>
    <mergeCell ref="AN39:AO41"/>
    <mergeCell ref="T14:AE14"/>
    <mergeCell ref="AV30:AW32"/>
    <mergeCell ref="AX30:AY32"/>
    <mergeCell ref="T4:AE4"/>
    <mergeCell ref="L21:M23"/>
    <mergeCell ref="AZ30:BB32"/>
    <mergeCell ref="J39:K41"/>
    <mergeCell ref="AY5:BB5"/>
    <mergeCell ref="AR7:AS7"/>
    <mergeCell ref="AT13:AU13"/>
    <mergeCell ref="AI15:AQ15"/>
    <mergeCell ref="AT7:AU7"/>
    <mergeCell ref="N24:O26"/>
    <mergeCell ref="V21:W23"/>
    <mergeCell ref="P24:Q26"/>
    <mergeCell ref="AT16:AU16"/>
    <mergeCell ref="D19:E19"/>
    <mergeCell ref="Z24:AA26"/>
    <mergeCell ref="F19:G19"/>
    <mergeCell ref="R33:S35"/>
    <mergeCell ref="AB24:AC26"/>
    <mergeCell ref="P33:Q35"/>
    <mergeCell ref="AD24:AE26"/>
    <mergeCell ref="C5:K9"/>
    <mergeCell ref="R19:S19"/>
    <mergeCell ref="AN24:AO26"/>
    <mergeCell ref="AI7:AQ7"/>
    <mergeCell ref="AF24:AG26"/>
    <mergeCell ref="AT8:AU8"/>
    <mergeCell ref="AI16:AQ16"/>
    <mergeCell ref="AH24:AI26"/>
    <mergeCell ref="V19:W19"/>
    <mergeCell ref="AR2:AS3"/>
    <mergeCell ref="F20:G20"/>
    <mergeCell ref="X19:Y19"/>
    <mergeCell ref="AT2:AU3"/>
    <mergeCell ref="AT24:AU26"/>
    <mergeCell ref="AP19:AQ19"/>
    <mergeCell ref="T8:AE8"/>
    <mergeCell ref="AR19:AS19"/>
    <mergeCell ref="AH19:AI19"/>
    <mergeCell ref="T17:AE17"/>
    <mergeCell ref="AJ19:AK19"/>
    <mergeCell ref="P10:S10"/>
    <mergeCell ref="P27:Q29"/>
    <mergeCell ref="D36:E38"/>
    <mergeCell ref="F36:G38"/>
    <mergeCell ref="J20:K20"/>
    <mergeCell ref="F33:G35"/>
    <mergeCell ref="L20:M20"/>
    <mergeCell ref="P9:S9"/>
    <mergeCell ref="AZ27:BB29"/>
    <mergeCell ref="AV19:AW19"/>
    <mergeCell ref="AF20:AG20"/>
    <mergeCell ref="H36:I38"/>
    <mergeCell ref="J36:K38"/>
    <mergeCell ref="O2:O3"/>
    <mergeCell ref="H19:I19"/>
    <mergeCell ref="AB36:AC38"/>
    <mergeCell ref="AR5:AS5"/>
    <mergeCell ref="AD36:AE38"/>
    <mergeCell ref="AN27:AO29"/>
    <mergeCell ref="V36:W38"/>
    <mergeCell ref="T27:AE29"/>
    <mergeCell ref="AP27:AQ29"/>
    <mergeCell ref="P11:S11"/>
    <mergeCell ref="AH39:AI41"/>
    <mergeCell ref="AP30:AQ32"/>
    <mergeCell ref="AN21:AU23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X20:AY20"/>
    <mergeCell ref="L36:M38"/>
    <mergeCell ref="D39:E41"/>
    <mergeCell ref="F39:G41"/>
    <mergeCell ref="AV36:AW38"/>
    <mergeCell ref="N30:O32"/>
    <mergeCell ref="P30:Q32"/>
    <mergeCell ref="AX39:AY41"/>
    <mergeCell ref="H30:I32"/>
    <mergeCell ref="R39:S41"/>
    <mergeCell ref="Z30:AA32"/>
    <mergeCell ref="T39:U41"/>
    <mergeCell ref="AI6:AQ6"/>
    <mergeCell ref="AY10:BB10"/>
    <mergeCell ref="P13:S13"/>
    <mergeCell ref="A19:C20"/>
    <mergeCell ref="AB30:AC32"/>
    <mergeCell ref="AI18:AU18"/>
    <mergeCell ref="AY7:BB7"/>
    <mergeCell ref="O18:S18"/>
    <mergeCell ref="AF27:AM29"/>
    <mergeCell ref="AI4:AQ4"/>
    <mergeCell ref="AY16:BB16"/>
    <mergeCell ref="X39:Y41"/>
    <mergeCell ref="P15:S15"/>
    <mergeCell ref="AJ21:AK23"/>
    <mergeCell ref="AR8:AS8"/>
    <mergeCell ref="AJ39:AK41"/>
    <mergeCell ref="AV21:AW23"/>
    <mergeCell ref="F24:G26"/>
    <mergeCell ref="AX21:AY23"/>
    <mergeCell ref="AY18:BB18"/>
    <mergeCell ref="AP24:AQ26"/>
    <mergeCell ref="AD19:AE19"/>
    <mergeCell ref="R24:S26"/>
    <mergeCell ref="AR10:AS10"/>
    <mergeCell ref="T13:AE13"/>
    <mergeCell ref="T7:AE7"/>
    <mergeCell ref="AZ21:BB23"/>
    <mergeCell ref="AY2:BB3"/>
    <mergeCell ref="T16:AE16"/>
    <mergeCell ref="J24:K26"/>
    <mergeCell ref="L24:M26"/>
    <mergeCell ref="R21:S23"/>
    <mergeCell ref="T21:U23"/>
    <mergeCell ref="L33:M35"/>
    <mergeCell ref="R20:S20"/>
    <mergeCell ref="V24:W26"/>
    <mergeCell ref="AR16:AS16"/>
    <mergeCell ref="N33:O35"/>
    <mergeCell ref="AT10:AU10"/>
    <mergeCell ref="X24:Y26"/>
    <mergeCell ref="R27:S29"/>
    <mergeCell ref="AT19:AU19"/>
    <mergeCell ref="X33:Y35"/>
    <mergeCell ref="AR24:AS26"/>
    <mergeCell ref="N19:O19"/>
    <mergeCell ref="T18:AE18"/>
    <mergeCell ref="Z33:AA35"/>
    <mergeCell ref="P19:Q19"/>
    <mergeCell ref="AI8:AQ8"/>
    <mergeCell ref="AR33:AS35"/>
    <mergeCell ref="R36:S38"/>
    <mergeCell ref="AI17:AQ17"/>
    <mergeCell ref="AT9:AU9"/>
    <mergeCell ref="Z20:AA20"/>
    <mergeCell ref="T2:AE3"/>
    <mergeCell ref="AZ19:BB19"/>
    <mergeCell ref="AR20:AS20"/>
    <mergeCell ref="A36:C38"/>
    <mergeCell ref="AI10:AQ10"/>
    <mergeCell ref="AY14:BB14"/>
    <mergeCell ref="P17:S17"/>
    <mergeCell ref="T19:U19"/>
    <mergeCell ref="A30:C32"/>
    <mergeCell ref="AL19:AM19"/>
    <mergeCell ref="AX33:AY35"/>
    <mergeCell ref="AV33:AW35"/>
    <mergeCell ref="AN19:AO19"/>
    <mergeCell ref="AF19:AG19"/>
    <mergeCell ref="T36:U38"/>
    <mergeCell ref="AI9:AQ9"/>
    <mergeCell ref="D30:E32"/>
    <mergeCell ref="AV2:AX2"/>
    <mergeCell ref="AF33:AQ35"/>
    <mergeCell ref="H20:I20"/>
    <mergeCell ref="AZ20:BB20"/>
    <mergeCell ref="AT6:AU6"/>
    <mergeCell ref="AB20:AC20"/>
    <mergeCell ref="T20:U20"/>
    <mergeCell ref="AD20:AE20"/>
    <mergeCell ref="AI11:AQ11"/>
    <mergeCell ref="P12:S12"/>
    <mergeCell ref="X36:Y38"/>
    <mergeCell ref="AZ36:BB38"/>
    <mergeCell ref="Z36:AA38"/>
    <mergeCell ref="T30:U32"/>
    <mergeCell ref="AT12:AU12"/>
    <mergeCell ref="AR14:AS14"/>
    <mergeCell ref="T12:AE12"/>
    <mergeCell ref="AL30:AM32"/>
    <mergeCell ref="P5:S5"/>
    <mergeCell ref="F30:G32"/>
    <mergeCell ref="AN30:AO32"/>
    <mergeCell ref="AD39:AE41"/>
    <mergeCell ref="P14:S14"/>
    <mergeCell ref="AP39:AQ41"/>
    <mergeCell ref="AF39:AG41"/>
    <mergeCell ref="A27:C29"/>
    <mergeCell ref="AR39:AS41"/>
    <mergeCell ref="AB33:AC35"/>
    <mergeCell ref="AT20:AU20"/>
    <mergeCell ref="AT14:AU14"/>
    <mergeCell ref="P4:S4"/>
    <mergeCell ref="D27:K29"/>
    <mergeCell ref="A33:C35"/>
    <mergeCell ref="AR4:AS4"/>
    <mergeCell ref="AI12:AQ12"/>
    <mergeCell ref="N21:O23"/>
    <mergeCell ref="AT4:AU4"/>
    <mergeCell ref="P21:Q23"/>
    <mergeCell ref="L39:M41"/>
    <mergeCell ref="AV39:AW41"/>
    <mergeCell ref="V30:W32"/>
    <mergeCell ref="N39:O41"/>
    <mergeCell ref="X30:Y32"/>
    <mergeCell ref="AY8:BB8"/>
    <mergeCell ref="AY17:BB17"/>
    <mergeCell ref="AI14:AQ14"/>
    <mergeCell ref="AT15:AU15"/>
    <mergeCell ref="AZ39:BB41"/>
    <mergeCell ref="P8:S8"/>
    <mergeCell ref="AI13:AQ13"/>
    <mergeCell ref="T15:AE15"/>
    <mergeCell ref="X21:AI23"/>
    <mergeCell ref="AJ24:AK26"/>
    <mergeCell ref="D24:E26"/>
    <mergeCell ref="AL24:AM26"/>
    <mergeCell ref="A39:C41"/>
    <mergeCell ref="AY9:BB9"/>
    <mergeCell ref="Z19:AA19"/>
    <mergeCell ref="D33:E35"/>
    <mergeCell ref="AV24:AW26"/>
    <mergeCell ref="AB19:AC19"/>
    <mergeCell ref="P7:S7"/>
    <mergeCell ref="AX24:AY26"/>
    <mergeCell ref="P16:S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4"/>
    <outlinePr summaryBelow="1" summaryRight="1"/>
    <pageSetUpPr/>
  </sheetPr>
  <dimension ref="A1:BB41"/>
  <sheetViews>
    <sheetView topLeftCell="A6" workbookViewId="0">
      <selection activeCell="D30" sqref="D30:O32"/>
    </sheetView>
  </sheetViews>
  <sheetFormatPr baseColWidth="8" defaultRowHeight="18"/>
  <cols>
    <col width="3.5703125" customWidth="1" style="937" min="1" max="5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LAB Highway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891" t="n"/>
      <c r="Y21" s="998" t="n"/>
      <c r="Z21" s="891" t="n"/>
      <c r="AA21" s="998" t="n"/>
      <c r="AB21" s="891" t="n"/>
      <c r="AC21" s="998" t="n"/>
      <c r="AD21" s="891" t="n"/>
      <c r="AE21" s="998" t="n"/>
      <c r="AF21" s="891" t="n"/>
      <c r="AG21" s="998" t="n"/>
      <c r="AH21" s="891" t="n"/>
      <c r="AI21" s="998" t="n"/>
      <c r="AJ21" s="891" t="n"/>
      <c r="AK21" s="998" t="n"/>
      <c r="AL21" s="891" t="n"/>
      <c r="AM21" s="998" t="n"/>
      <c r="AN21" s="891" t="n"/>
      <c r="AO21" s="998" t="n"/>
      <c r="AP21" s="891" t="n"/>
      <c r="AQ21" s="998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09" t="n"/>
      <c r="AM22" s="1010" t="n"/>
      <c r="AN22" s="1009" t="n"/>
      <c r="AO22" s="1010" t="n"/>
      <c r="AP22" s="1009" t="n"/>
      <c r="AQ22" s="1010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02" t="n"/>
      <c r="AM23" s="1004" t="n"/>
      <c r="AN23" s="1002" t="n"/>
      <c r="AO23" s="1004" t="n"/>
      <c r="AP23" s="1002" t="n"/>
      <c r="AQ23" s="1004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891" t="n"/>
      <c r="E27" s="998" t="n"/>
      <c r="F27" s="891" t="n"/>
      <c r="G27" s="998" t="n"/>
      <c r="H27" s="891" t="n"/>
      <c r="I27" s="998" t="n"/>
      <c r="J27" s="891" t="n"/>
      <c r="K27" s="998" t="n"/>
      <c r="L27" s="1005" t="inlineStr">
        <is>
          <t>TEDCV027 วิศวกรรมการทาง (ป2)
อ.อัครพงษ์
ค.อ.บ.ยธ. ปี 3</t>
        </is>
      </c>
      <c r="M27" s="1006" t="n"/>
      <c r="N27" s="1006" t="n"/>
      <c r="O27" s="1006" t="n"/>
      <c r="P27" s="1006" t="n"/>
      <c r="Q27" s="1006" t="n"/>
      <c r="R27" s="1006" t="n"/>
      <c r="S27" s="1007" t="n"/>
      <c r="T27" s="891" t="n"/>
      <c r="U27" s="998" t="n"/>
      <c r="V27" s="891" t="n"/>
      <c r="W27" s="998" t="n"/>
      <c r="X27" s="1005" t="inlineStr">
        <is>
          <t>TEDCV027 วิศวกรรมการทาง (ป1)
อ.อัครพงษ์
ค.อ.บ.ยธ. ปี 3</t>
        </is>
      </c>
      <c r="Y27" s="1006" t="n"/>
      <c r="Z27" s="1006" t="n"/>
      <c r="AA27" s="1007" t="n"/>
      <c r="AB27" s="891" t="n"/>
      <c r="AC27" s="998" t="n"/>
      <c r="AD27" s="891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09" t="n"/>
      <c r="I28" s="1010" t="n"/>
      <c r="J28" s="1009" t="n"/>
      <c r="K28" s="1010" t="n"/>
      <c r="L28" s="1011" t="n"/>
      <c r="S28" s="1012" t="n"/>
      <c r="T28" s="1009" t="n"/>
      <c r="U28" s="1010" t="n"/>
      <c r="V28" s="1009" t="n"/>
      <c r="W28" s="1010" t="n"/>
      <c r="X28" s="1011" t="n"/>
      <c r="AA28" s="1012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02" t="n"/>
      <c r="I29" s="1004" t="n"/>
      <c r="J29" s="1002" t="n"/>
      <c r="K29" s="1004" t="n"/>
      <c r="L29" s="1013" t="n"/>
      <c r="M29" s="1014" t="n"/>
      <c r="N29" s="1014" t="n"/>
      <c r="O29" s="1014" t="n"/>
      <c r="P29" s="1014" t="n"/>
      <c r="Q29" s="1014" t="n"/>
      <c r="R29" s="1014" t="n"/>
      <c r="S29" s="1015" t="n"/>
      <c r="T29" s="1002" t="n"/>
      <c r="U29" s="1004" t="n"/>
      <c r="V29" s="1002" t="n"/>
      <c r="W29" s="1004" t="n"/>
      <c r="X29" s="1013" t="n"/>
      <c r="Y29" s="1014" t="n"/>
      <c r="Z29" s="1014" t="n"/>
      <c r="AA29" s="1015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63" t="inlineStr">
        <is>
          <t>ENGCV402 Highway Materials Testing อ.ชาคริต (0,3), อ.พรพจน์ (0,3) Lab Highway</t>
        </is>
      </c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3" t="n"/>
      <c r="F32" s="1003" t="n"/>
      <c r="G32" s="1003" t="n"/>
      <c r="H32" s="1003" t="n"/>
      <c r="I32" s="1003" t="n"/>
      <c r="J32" s="1003" t="n"/>
      <c r="K32" s="1003" t="n"/>
      <c r="L32" s="1003" t="n"/>
      <c r="M32" s="1003" t="n"/>
      <c r="N32" s="1003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19">
    <mergeCell ref="T10:AE10"/>
    <mergeCell ref="C5:K9"/>
    <mergeCell ref="H33:I35"/>
    <mergeCell ref="J33:K35"/>
    <mergeCell ref="AY6:BB6"/>
    <mergeCell ref="V20:W20"/>
    <mergeCell ref="AF2:AH2"/>
    <mergeCell ref="AT33:AU35"/>
    <mergeCell ref="AN36:AO38"/>
    <mergeCell ref="AT5:AU5"/>
    <mergeCell ref="P36:Q38"/>
    <mergeCell ref="H39:I41"/>
    <mergeCell ref="R30:S32"/>
    <mergeCell ref="AL39:AM41"/>
    <mergeCell ref="AT30:AU32"/>
    <mergeCell ref="AN39:AO41"/>
    <mergeCell ref="AV30:AW32"/>
    <mergeCell ref="AX30:AY32"/>
    <mergeCell ref="J21:K23"/>
    <mergeCell ref="L21:M23"/>
    <mergeCell ref="AI15:AQ15"/>
    <mergeCell ref="AT16:AU16"/>
    <mergeCell ref="R19:S19"/>
    <mergeCell ref="AF24:AG26"/>
    <mergeCell ref="AH24:AI26"/>
    <mergeCell ref="D27:E29"/>
    <mergeCell ref="P10:S10"/>
    <mergeCell ref="H36:I38"/>
    <mergeCell ref="J36:K38"/>
    <mergeCell ref="H19:I19"/>
    <mergeCell ref="AN27:AO29"/>
    <mergeCell ref="AP27:AQ29"/>
    <mergeCell ref="AR17:AS17"/>
    <mergeCell ref="AJ20:AK20"/>
    <mergeCell ref="AR11:AS11"/>
    <mergeCell ref="AL20:AM20"/>
    <mergeCell ref="AT11:AU11"/>
    <mergeCell ref="AT36:AU38"/>
    <mergeCell ref="AV36:AW38"/>
    <mergeCell ref="R39:S41"/>
    <mergeCell ref="Z30:AA32"/>
    <mergeCell ref="T39:U41"/>
    <mergeCell ref="AD21:AE23"/>
    <mergeCell ref="AB30:AC32"/>
    <mergeCell ref="L27:S29"/>
    <mergeCell ref="AY16:BB16"/>
    <mergeCell ref="AR8:AS8"/>
    <mergeCell ref="AY18:BB18"/>
    <mergeCell ref="AR10:AS10"/>
    <mergeCell ref="R21:S23"/>
    <mergeCell ref="J24:K26"/>
    <mergeCell ref="T21:U23"/>
    <mergeCell ref="L24:M26"/>
    <mergeCell ref="R20:S20"/>
    <mergeCell ref="AT19:AU19"/>
    <mergeCell ref="AR33:AS35"/>
    <mergeCell ref="AI9:AQ9"/>
    <mergeCell ref="AV2:AX2"/>
    <mergeCell ref="H20:I20"/>
    <mergeCell ref="AI11:AQ11"/>
    <mergeCell ref="X36:Y38"/>
    <mergeCell ref="Z36:AA38"/>
    <mergeCell ref="T30:U32"/>
    <mergeCell ref="AT12:AU12"/>
    <mergeCell ref="T12:AE12"/>
    <mergeCell ref="AT20:AU20"/>
    <mergeCell ref="AT14:AU14"/>
    <mergeCell ref="P4:S4"/>
    <mergeCell ref="AV39:AW41"/>
    <mergeCell ref="AY17:BB17"/>
    <mergeCell ref="AT15:AU15"/>
    <mergeCell ref="Z19:AA19"/>
    <mergeCell ref="AB19:AC19"/>
    <mergeCell ref="AZ33:BB35"/>
    <mergeCell ref="T24:U26"/>
    <mergeCell ref="AY12:BB12"/>
    <mergeCell ref="AV27:AW29"/>
    <mergeCell ref="AX27:AY29"/>
    <mergeCell ref="T6:AE6"/>
    <mergeCell ref="X20:Y20"/>
    <mergeCell ref="AR6:AS6"/>
    <mergeCell ref="AY13:BB13"/>
    <mergeCell ref="AH36:AI38"/>
    <mergeCell ref="Z39:AA41"/>
    <mergeCell ref="AH30:AI32"/>
    <mergeCell ref="AB39:AC41"/>
    <mergeCell ref="AL21:AM23"/>
    <mergeCell ref="AJ30:AK32"/>
    <mergeCell ref="AN21:AO23"/>
    <mergeCell ref="AZ30:BB32"/>
    <mergeCell ref="AY5:BB5"/>
    <mergeCell ref="D19:E19"/>
    <mergeCell ref="P33:Q35"/>
    <mergeCell ref="F19:G19"/>
    <mergeCell ref="R33:S35"/>
    <mergeCell ref="AN24:AO26"/>
    <mergeCell ref="AI7:AQ7"/>
    <mergeCell ref="AR2:AS3"/>
    <mergeCell ref="F20:G20"/>
    <mergeCell ref="AT2:AU3"/>
    <mergeCell ref="AP19:AQ19"/>
    <mergeCell ref="T8:AE8"/>
    <mergeCell ref="AR19:AS19"/>
    <mergeCell ref="AH19:AI19"/>
    <mergeCell ref="AJ19:AK19"/>
    <mergeCell ref="F33:G35"/>
    <mergeCell ref="V27:W29"/>
    <mergeCell ref="AT39:AU41"/>
    <mergeCell ref="T5:AE5"/>
    <mergeCell ref="AJ36:AK38"/>
    <mergeCell ref="L36:M38"/>
    <mergeCell ref="D39:E41"/>
    <mergeCell ref="F39:G41"/>
    <mergeCell ref="P30:Q32"/>
    <mergeCell ref="P13:S13"/>
    <mergeCell ref="O18:S18"/>
    <mergeCell ref="P15:S15"/>
    <mergeCell ref="AJ39:AK41"/>
    <mergeCell ref="AV21:AW23"/>
    <mergeCell ref="AX21:AY23"/>
    <mergeCell ref="AP24:AQ26"/>
    <mergeCell ref="R24:S26"/>
    <mergeCell ref="AY2:BB3"/>
    <mergeCell ref="T16:AE16"/>
    <mergeCell ref="AR16:AS16"/>
    <mergeCell ref="X33:Y35"/>
    <mergeCell ref="N19:O19"/>
    <mergeCell ref="T18:AE18"/>
    <mergeCell ref="Z33:AA35"/>
    <mergeCell ref="P19:Q19"/>
    <mergeCell ref="AI8:AQ8"/>
    <mergeCell ref="R36:S38"/>
    <mergeCell ref="AT9:AU9"/>
    <mergeCell ref="AZ19:BB19"/>
    <mergeCell ref="AR20:AS20"/>
    <mergeCell ref="A36:C38"/>
    <mergeCell ref="AI10:AQ10"/>
    <mergeCell ref="AY14:BB14"/>
    <mergeCell ref="A30:C32"/>
    <mergeCell ref="AZ20:BB20"/>
    <mergeCell ref="P5:S5"/>
    <mergeCell ref="A27:C29"/>
    <mergeCell ref="AR4:AS4"/>
    <mergeCell ref="L39:M41"/>
    <mergeCell ref="AT4:AU4"/>
    <mergeCell ref="N39:O41"/>
    <mergeCell ref="V30:W32"/>
    <mergeCell ref="Z21:AA23"/>
    <mergeCell ref="X30:Y32"/>
    <mergeCell ref="AB21:AC23"/>
    <mergeCell ref="AZ39:BB41"/>
    <mergeCell ref="P8:S8"/>
    <mergeCell ref="AY9:BB9"/>
    <mergeCell ref="D33:E35"/>
    <mergeCell ref="AV24:AW26"/>
    <mergeCell ref="AX24:AY26"/>
    <mergeCell ref="P16:S16"/>
    <mergeCell ref="T27:U29"/>
    <mergeCell ref="AT17:AU17"/>
    <mergeCell ref="AY11:BB11"/>
    <mergeCell ref="H24:I26"/>
    <mergeCell ref="N20:O20"/>
    <mergeCell ref="P20:Q20"/>
    <mergeCell ref="AX19:AY19"/>
    <mergeCell ref="AN33:AO35"/>
    <mergeCell ref="AF36:AG38"/>
    <mergeCell ref="AY15:BB15"/>
    <mergeCell ref="X27:AA29"/>
    <mergeCell ref="AY4:BB4"/>
    <mergeCell ref="P6:S6"/>
    <mergeCell ref="P39:Q41"/>
    <mergeCell ref="AR12:AS12"/>
    <mergeCell ref="T14:AE14"/>
    <mergeCell ref="AR7:AS7"/>
    <mergeCell ref="AT13:AU13"/>
    <mergeCell ref="AT7:AU7"/>
    <mergeCell ref="Z24:AA26"/>
    <mergeCell ref="AB24:AC26"/>
    <mergeCell ref="AD24:AE26"/>
    <mergeCell ref="AT8:AU8"/>
    <mergeCell ref="AP33:AQ35"/>
    <mergeCell ref="AF33:AG35"/>
    <mergeCell ref="V19:W19"/>
    <mergeCell ref="AH33:AI35"/>
    <mergeCell ref="X19:Y19"/>
    <mergeCell ref="D36:E38"/>
    <mergeCell ref="F36:G38"/>
    <mergeCell ref="J27:K29"/>
    <mergeCell ref="AF20:AG20"/>
    <mergeCell ref="O2:O3"/>
    <mergeCell ref="AP36:AQ38"/>
    <mergeCell ref="AH39:AI41"/>
    <mergeCell ref="AP30:AQ32"/>
    <mergeCell ref="AR36:AS38"/>
    <mergeCell ref="AR30:AS32"/>
    <mergeCell ref="AY7:BB7"/>
    <mergeCell ref="X39:Y41"/>
    <mergeCell ref="AH21:AI23"/>
    <mergeCell ref="AJ21:AK23"/>
    <mergeCell ref="F24:G26"/>
    <mergeCell ref="AZ21:BB23"/>
    <mergeCell ref="L33:M35"/>
    <mergeCell ref="N33:O35"/>
    <mergeCell ref="AT10:AU10"/>
    <mergeCell ref="AR24:AS26"/>
    <mergeCell ref="AB27:AC29"/>
    <mergeCell ref="AD27:AE29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AZ36:BB38"/>
    <mergeCell ref="AR14:AS14"/>
    <mergeCell ref="AP39:AQ41"/>
    <mergeCell ref="AR39:AS41"/>
    <mergeCell ref="A33:C35"/>
    <mergeCell ref="N21:O23"/>
    <mergeCell ref="F21:G23"/>
    <mergeCell ref="P21:Q23"/>
    <mergeCell ref="H21:I23"/>
    <mergeCell ref="AY8:BB8"/>
    <mergeCell ref="AR21:AS23"/>
    <mergeCell ref="AJ24:AK26"/>
    <mergeCell ref="AT21:AU23"/>
    <mergeCell ref="AL24:AM26"/>
    <mergeCell ref="A39:C41"/>
    <mergeCell ref="F27:G29"/>
    <mergeCell ref="H27:I29"/>
    <mergeCell ref="D20:E20"/>
    <mergeCell ref="AZ24:BB26"/>
    <mergeCell ref="AI2:AQ3"/>
    <mergeCell ref="AB33:AC35"/>
    <mergeCell ref="T33:U35"/>
    <mergeCell ref="AD33:AE35"/>
    <mergeCell ref="J19:K19"/>
    <mergeCell ref="V33:W35"/>
    <mergeCell ref="N36:O38"/>
    <mergeCell ref="T9:AE9"/>
    <mergeCell ref="L19:M19"/>
    <mergeCell ref="AR27:AS29"/>
    <mergeCell ref="AT27:AU29"/>
    <mergeCell ref="P2:S3"/>
    <mergeCell ref="AR9:AS9"/>
    <mergeCell ref="AN20:AO20"/>
    <mergeCell ref="T11:AE11"/>
    <mergeCell ref="AP20:AQ20"/>
    <mergeCell ref="A21:C23"/>
    <mergeCell ref="AH20:AI20"/>
    <mergeCell ref="AX36:AY38"/>
    <mergeCell ref="AR13:AS13"/>
    <mergeCell ref="V39:W41"/>
    <mergeCell ref="AD30:AE32"/>
    <mergeCell ref="AF30:AG32"/>
    <mergeCell ref="AR15:AS15"/>
    <mergeCell ref="AI5:AQ5"/>
    <mergeCell ref="A24:C26"/>
    <mergeCell ref="T4:AE4"/>
    <mergeCell ref="J39:K41"/>
    <mergeCell ref="V21:W23"/>
    <mergeCell ref="N24:O26"/>
    <mergeCell ref="X21:Y23"/>
    <mergeCell ref="P24:Q26"/>
    <mergeCell ref="AI16:AQ16"/>
    <mergeCell ref="AT24:AU26"/>
    <mergeCell ref="T17:AE17"/>
    <mergeCell ref="J20:K20"/>
    <mergeCell ref="L20:M20"/>
    <mergeCell ref="P9:S9"/>
    <mergeCell ref="AZ27:BB29"/>
    <mergeCell ref="AV19:AW19"/>
    <mergeCell ref="AJ33:AK35"/>
    <mergeCell ref="AB36:AC38"/>
    <mergeCell ref="AR5:AS5"/>
    <mergeCell ref="AD36:AE38"/>
    <mergeCell ref="V36:W38"/>
    <mergeCell ref="D30:O32"/>
    <mergeCell ref="P11:S11"/>
    <mergeCell ref="AV20:AW20"/>
    <mergeCell ref="AX20:AY20"/>
    <mergeCell ref="AX39:AY41"/>
    <mergeCell ref="AI6:AQ6"/>
    <mergeCell ref="AY10:BB10"/>
    <mergeCell ref="A19:C20"/>
    <mergeCell ref="AP21:AQ23"/>
    <mergeCell ref="AI18:AU18"/>
    <mergeCell ref="AF27:AM29"/>
    <mergeCell ref="AI4:AQ4"/>
    <mergeCell ref="D21:E23"/>
    <mergeCell ref="AD19:AE19"/>
    <mergeCell ref="T13:AE13"/>
    <mergeCell ref="T7:AE7"/>
    <mergeCell ref="V24:W26"/>
    <mergeCell ref="X24:Y26"/>
    <mergeCell ref="AI17:AQ17"/>
    <mergeCell ref="AL33:AM35"/>
    <mergeCell ref="P17:S17"/>
    <mergeCell ref="T19:U19"/>
    <mergeCell ref="AT6:AU6"/>
    <mergeCell ref="AB20:AC20"/>
    <mergeCell ref="T20:U20"/>
    <mergeCell ref="AD20:AE20"/>
    <mergeCell ref="P12:S12"/>
    <mergeCell ref="AL36:AM38"/>
    <mergeCell ref="AD39:AE41"/>
    <mergeCell ref="AL30:AM32"/>
    <mergeCell ref="AF39:AG41"/>
    <mergeCell ref="AN30:AO32"/>
    <mergeCell ref="P14:S14"/>
    <mergeCell ref="AI12:AQ12"/>
    <mergeCell ref="AI14:AQ14"/>
    <mergeCell ref="AI13:AQ13"/>
    <mergeCell ref="AF21:AG23"/>
    <mergeCell ref="T15:AE15"/>
    <mergeCell ref="D24:E26"/>
    <mergeCell ref="P7:S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4"/>
    <outlinePr summaryBelow="1" summaryRight="1"/>
    <pageSetUpPr/>
  </sheetPr>
  <dimension ref="A1:BB41"/>
  <sheetViews>
    <sheetView topLeftCell="A18" workbookViewId="0">
      <selection activeCell="AL36" sqref="A1:XFD1048576"/>
    </sheetView>
  </sheetViews>
  <sheetFormatPr baseColWidth="8" defaultRowHeight="18"/>
  <cols>
    <col width="3.5703125" customWidth="1" style="937" min="1" max="54"/>
    <col width="9.140625" customWidth="1" style="975" min="55" max="1638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LAB Soil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891" t="n"/>
      <c r="Y21" s="998" t="n"/>
      <c r="Z21" s="891" t="n"/>
      <c r="AA21" s="998" t="n"/>
      <c r="AB21" s="891" t="n"/>
      <c r="AC21" s="998" t="n"/>
      <c r="AD21" s="891" t="n"/>
      <c r="AE21" s="998" t="n"/>
      <c r="AF21" s="891" t="n"/>
      <c r="AG21" s="998" t="n"/>
      <c r="AH21" s="891" t="n"/>
      <c r="AI21" s="998" t="n"/>
      <c r="AJ21" s="891" t="n"/>
      <c r="AK21" s="998" t="n"/>
      <c r="AL21" s="891" t="n"/>
      <c r="AM21" s="998" t="n"/>
      <c r="AN21" s="891" t="n"/>
      <c r="AO21" s="998" t="n"/>
      <c r="AP21" s="891" t="n"/>
      <c r="AQ21" s="998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09" t="n"/>
      <c r="AM22" s="1010" t="n"/>
      <c r="AN22" s="1009" t="n"/>
      <c r="AO22" s="1010" t="n"/>
      <c r="AP22" s="1009" t="n"/>
      <c r="AQ22" s="1010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02" t="n"/>
      <c r="AM23" s="1004" t="n"/>
      <c r="AN23" s="1002" t="n"/>
      <c r="AO23" s="1004" t="n"/>
      <c r="AP23" s="1002" t="n"/>
      <c r="AQ23" s="1004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891" t="n"/>
      <c r="E27" s="998" t="n"/>
      <c r="F27" s="891" t="n"/>
      <c r="G27" s="998" t="n"/>
      <c r="H27" s="891" t="n"/>
      <c r="I27" s="998" t="n"/>
      <c r="J27" s="891" t="n"/>
      <c r="K27" s="998" t="n"/>
      <c r="L27" s="891" t="n"/>
      <c r="M27" s="998" t="n"/>
      <c r="N27" s="891" t="n"/>
      <c r="O27" s="998" t="n"/>
      <c r="P27" s="891" t="n"/>
      <c r="Q27" s="998" t="n"/>
      <c r="R27" s="891" t="n"/>
      <c r="S27" s="998" t="n"/>
      <c r="T27" s="1061" t="inlineStr">
        <is>
          <t>ENGCV202  อ.ปิ่นแก้ว (0,3) Lab soil</t>
        </is>
      </c>
      <c r="U27" s="997" t="n"/>
      <c r="V27" s="997" t="n"/>
      <c r="W27" s="997" t="n"/>
      <c r="X27" s="997" t="n"/>
      <c r="Y27" s="997" t="n"/>
      <c r="Z27" s="997" t="n"/>
      <c r="AA27" s="997" t="n"/>
      <c r="AB27" s="997" t="n"/>
      <c r="AC27" s="997" t="n"/>
      <c r="AD27" s="997" t="n"/>
      <c r="AE27" s="998" t="n"/>
      <c r="AF27" s="940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09" t="n"/>
      <c r="I28" s="1010" t="n"/>
      <c r="J28" s="1009" t="n"/>
      <c r="K28" s="1010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02" t="n"/>
      <c r="I29" s="1004" t="n"/>
      <c r="J29" s="1002" t="n"/>
      <c r="K29" s="1004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02" t="n"/>
      <c r="U29" s="1003" t="n"/>
      <c r="V29" s="1003" t="n"/>
      <c r="W29" s="1003" t="n"/>
      <c r="X29" s="1003" t="n"/>
      <c r="Y29" s="1003" t="n"/>
      <c r="Z29" s="1003" t="n"/>
      <c r="AA29" s="1003" t="n"/>
      <c r="AB29" s="1003" t="n"/>
      <c r="AC29" s="1003" t="n"/>
      <c r="AD29" s="1003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1062" t="inlineStr">
        <is>
          <t>ENGCV202 อ.พิสุต (0,3)   Lab soil</t>
        </is>
      </c>
      <c r="U36" s="997" t="n"/>
      <c r="V36" s="997" t="n"/>
      <c r="W36" s="997" t="n"/>
      <c r="X36" s="997" t="n"/>
      <c r="Y36" s="997" t="n"/>
      <c r="Z36" s="997" t="n"/>
      <c r="AA36" s="997" t="n"/>
      <c r="AB36" s="997" t="n"/>
      <c r="AC36" s="997" t="n"/>
      <c r="AD36" s="997" t="n"/>
      <c r="AE36" s="998" t="n"/>
      <c r="AF36" s="891" t="n"/>
      <c r="AG36" s="998" t="n"/>
      <c r="AH36" s="891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3" t="n"/>
      <c r="V38" s="1003" t="n"/>
      <c r="W38" s="1003" t="n"/>
      <c r="X38" s="1003" t="n"/>
      <c r="Y38" s="1003" t="n"/>
      <c r="Z38" s="1003" t="n"/>
      <c r="AA38" s="1003" t="n"/>
      <c r="AB38" s="1003" t="n"/>
      <c r="AC38" s="1003" t="n"/>
      <c r="AD38" s="1003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18">
    <mergeCell ref="T10:AE10"/>
    <mergeCell ref="C5:K9"/>
    <mergeCell ref="H33:I35"/>
    <mergeCell ref="J33:K35"/>
    <mergeCell ref="AY6:BB6"/>
    <mergeCell ref="V20:W20"/>
    <mergeCell ref="AF2:AH2"/>
    <mergeCell ref="AT33:AU35"/>
    <mergeCell ref="AN36:AO38"/>
    <mergeCell ref="AT5:AU5"/>
    <mergeCell ref="P36:Q38"/>
    <mergeCell ref="H39:I41"/>
    <mergeCell ref="R30:S32"/>
    <mergeCell ref="J30:K32"/>
    <mergeCell ref="L30:M32"/>
    <mergeCell ref="AL39:AM41"/>
    <mergeCell ref="AT30:AU32"/>
    <mergeCell ref="AN39:AO41"/>
    <mergeCell ref="AV30:AW32"/>
    <mergeCell ref="AX30:AY32"/>
    <mergeCell ref="J21:K23"/>
    <mergeCell ref="L21:M23"/>
    <mergeCell ref="AI15:AQ15"/>
    <mergeCell ref="AT16:AU16"/>
    <mergeCell ref="R19:S19"/>
    <mergeCell ref="AF24:AG26"/>
    <mergeCell ref="AH24:AI26"/>
    <mergeCell ref="D27:E29"/>
    <mergeCell ref="P10:S10"/>
    <mergeCell ref="H36:I38"/>
    <mergeCell ref="J36:K38"/>
    <mergeCell ref="H19:I19"/>
    <mergeCell ref="T27:AE29"/>
    <mergeCell ref="AN27:AO29"/>
    <mergeCell ref="AP27:AQ29"/>
    <mergeCell ref="AR17:AS17"/>
    <mergeCell ref="AJ20:AK20"/>
    <mergeCell ref="AR11:AS11"/>
    <mergeCell ref="AL20:AM20"/>
    <mergeCell ref="AT11:AU11"/>
    <mergeCell ref="AT36:AU38"/>
    <mergeCell ref="AV36:AW38"/>
    <mergeCell ref="R39:S41"/>
    <mergeCell ref="Z30:AA32"/>
    <mergeCell ref="T39:U41"/>
    <mergeCell ref="AD21:AE23"/>
    <mergeCell ref="AB30:AC32"/>
    <mergeCell ref="AY16:BB16"/>
    <mergeCell ref="AR8:AS8"/>
    <mergeCell ref="AY18:BB18"/>
    <mergeCell ref="AR10:AS10"/>
    <mergeCell ref="R21:S23"/>
    <mergeCell ref="J24:K26"/>
    <mergeCell ref="T21:U23"/>
    <mergeCell ref="L24:M26"/>
    <mergeCell ref="R20:S20"/>
    <mergeCell ref="AT19:AU19"/>
    <mergeCell ref="AR33:AS35"/>
    <mergeCell ref="AI9:AQ9"/>
    <mergeCell ref="AV2:AX2"/>
    <mergeCell ref="H20:I20"/>
    <mergeCell ref="AI11:AQ11"/>
    <mergeCell ref="T30:U32"/>
    <mergeCell ref="AT12:AU12"/>
    <mergeCell ref="T12:AE12"/>
    <mergeCell ref="F30:G32"/>
    <mergeCell ref="AT20:AU20"/>
    <mergeCell ref="AT14:AU14"/>
    <mergeCell ref="P4:S4"/>
    <mergeCell ref="AV39:AW41"/>
    <mergeCell ref="AY17:BB17"/>
    <mergeCell ref="AT15:AU15"/>
    <mergeCell ref="Z19:AA19"/>
    <mergeCell ref="AB19:AC19"/>
    <mergeCell ref="AZ33:BB35"/>
    <mergeCell ref="T24:U26"/>
    <mergeCell ref="L27:M29"/>
    <mergeCell ref="N27:O29"/>
    <mergeCell ref="AY12:BB12"/>
    <mergeCell ref="AV27:AW29"/>
    <mergeCell ref="AX27:AY29"/>
    <mergeCell ref="T6:AE6"/>
    <mergeCell ref="X20:Y20"/>
    <mergeCell ref="AR6:AS6"/>
    <mergeCell ref="AY13:BB13"/>
    <mergeCell ref="Z39:AA41"/>
    <mergeCell ref="AH36:AI38"/>
    <mergeCell ref="AH30:AI32"/>
    <mergeCell ref="AB39:AC41"/>
    <mergeCell ref="AL21:AM23"/>
    <mergeCell ref="AJ30:AK32"/>
    <mergeCell ref="AN21:AO23"/>
    <mergeCell ref="AZ30:BB32"/>
    <mergeCell ref="AY5:BB5"/>
    <mergeCell ref="D19:E19"/>
    <mergeCell ref="P33:Q35"/>
    <mergeCell ref="F19:G19"/>
    <mergeCell ref="R33:S35"/>
    <mergeCell ref="AN24:AO26"/>
    <mergeCell ref="AI7:AQ7"/>
    <mergeCell ref="AR2:AS3"/>
    <mergeCell ref="F20:G20"/>
    <mergeCell ref="AT2:AU3"/>
    <mergeCell ref="AP19:AQ19"/>
    <mergeCell ref="T8:AE8"/>
    <mergeCell ref="AR19:AS19"/>
    <mergeCell ref="AH19:AI19"/>
    <mergeCell ref="AJ19:AK19"/>
    <mergeCell ref="F33:G35"/>
    <mergeCell ref="AT39:AU41"/>
    <mergeCell ref="T5:AE5"/>
    <mergeCell ref="AJ36:AK38"/>
    <mergeCell ref="L36:M38"/>
    <mergeCell ref="D39:E41"/>
    <mergeCell ref="F39:G41"/>
    <mergeCell ref="N30:O32"/>
    <mergeCell ref="P30:Q32"/>
    <mergeCell ref="H30:I32"/>
    <mergeCell ref="P13:S13"/>
    <mergeCell ref="O18:S18"/>
    <mergeCell ref="P15:S15"/>
    <mergeCell ref="AJ39:AK41"/>
    <mergeCell ref="AV21:AW23"/>
    <mergeCell ref="AX21:AY23"/>
    <mergeCell ref="AP24:AQ26"/>
    <mergeCell ref="R24:S26"/>
    <mergeCell ref="AY2:BB3"/>
    <mergeCell ref="T16:AE16"/>
    <mergeCell ref="AR16:AS16"/>
    <mergeCell ref="X33:Y35"/>
    <mergeCell ref="N19:O19"/>
    <mergeCell ref="T18:AE18"/>
    <mergeCell ref="R36:S38"/>
    <mergeCell ref="P19:Q19"/>
    <mergeCell ref="AI8:AQ8"/>
    <mergeCell ref="Z33:AA35"/>
    <mergeCell ref="AT9:AU9"/>
    <mergeCell ref="AZ19:BB19"/>
    <mergeCell ref="AR20:AS20"/>
    <mergeCell ref="A36:C38"/>
    <mergeCell ref="AI10:AQ10"/>
    <mergeCell ref="AY14:BB14"/>
    <mergeCell ref="A30:C32"/>
    <mergeCell ref="AZ20:BB20"/>
    <mergeCell ref="P5:S5"/>
    <mergeCell ref="A27:C29"/>
    <mergeCell ref="AR4:AS4"/>
    <mergeCell ref="L39:M41"/>
    <mergeCell ref="AT4:AU4"/>
    <mergeCell ref="N39:O41"/>
    <mergeCell ref="V30:W32"/>
    <mergeCell ref="Z21:AA23"/>
    <mergeCell ref="X30:Y32"/>
    <mergeCell ref="AB21:AC23"/>
    <mergeCell ref="AZ39:BB41"/>
    <mergeCell ref="P8:S8"/>
    <mergeCell ref="AY9:BB9"/>
    <mergeCell ref="D33:E35"/>
    <mergeCell ref="AV24:AW26"/>
    <mergeCell ref="AX24:AY26"/>
    <mergeCell ref="P16:S16"/>
    <mergeCell ref="AT17:AU17"/>
    <mergeCell ref="AY11:BB11"/>
    <mergeCell ref="H24:I26"/>
    <mergeCell ref="N20:O20"/>
    <mergeCell ref="P20:Q20"/>
    <mergeCell ref="AX19:AY19"/>
    <mergeCell ref="AN33:AO35"/>
    <mergeCell ref="AF36:AG38"/>
    <mergeCell ref="AY15:BB15"/>
    <mergeCell ref="AY4:BB4"/>
    <mergeCell ref="P6:S6"/>
    <mergeCell ref="P39:Q41"/>
    <mergeCell ref="AR12:AS12"/>
    <mergeCell ref="T14:AE14"/>
    <mergeCell ref="AR7:AS7"/>
    <mergeCell ref="AT13:AU13"/>
    <mergeCell ref="AT7:AU7"/>
    <mergeCell ref="Z24:AA26"/>
    <mergeCell ref="AB24:AC26"/>
    <mergeCell ref="AD24:AE26"/>
    <mergeCell ref="AT8:AU8"/>
    <mergeCell ref="AP33:AQ35"/>
    <mergeCell ref="AF33:AG35"/>
    <mergeCell ref="V19:W19"/>
    <mergeCell ref="AH33:AI35"/>
    <mergeCell ref="X19:Y19"/>
    <mergeCell ref="D36:E38"/>
    <mergeCell ref="F36:G38"/>
    <mergeCell ref="J27:K29"/>
    <mergeCell ref="AF20:AG20"/>
    <mergeCell ref="O2:O3"/>
    <mergeCell ref="T36:AE38"/>
    <mergeCell ref="AH39:AI41"/>
    <mergeCell ref="AP36:AQ38"/>
    <mergeCell ref="AP30:AQ32"/>
    <mergeCell ref="AR36:AS38"/>
    <mergeCell ref="AR30:AS32"/>
    <mergeCell ref="AY7:BB7"/>
    <mergeCell ref="X39:Y41"/>
    <mergeCell ref="AH21:AI23"/>
    <mergeCell ref="AJ21:AK23"/>
    <mergeCell ref="F24:G26"/>
    <mergeCell ref="AZ21:BB23"/>
    <mergeCell ref="L33:M35"/>
    <mergeCell ref="N33:O35"/>
    <mergeCell ref="AT10:AU10"/>
    <mergeCell ref="AR24:AS26"/>
    <mergeCell ref="Z20:AA20"/>
    <mergeCell ref="T2:AE3"/>
    <mergeCell ref="AV33:AW35"/>
    <mergeCell ref="AL19:AM19"/>
    <mergeCell ref="AX33:AY35"/>
    <mergeCell ref="AN19:AO19"/>
    <mergeCell ref="AF19:AG19"/>
    <mergeCell ref="AZ36:BB38"/>
    <mergeCell ref="AR14:AS14"/>
    <mergeCell ref="AP39:AQ41"/>
    <mergeCell ref="AR39:AS41"/>
    <mergeCell ref="A33:C35"/>
    <mergeCell ref="N21:O23"/>
    <mergeCell ref="F21:G23"/>
    <mergeCell ref="P21:Q23"/>
    <mergeCell ref="H21:I23"/>
    <mergeCell ref="AY8:BB8"/>
    <mergeCell ref="AR21:AS23"/>
    <mergeCell ref="AJ24:AK26"/>
    <mergeCell ref="AT21:AU23"/>
    <mergeCell ref="AL24:AM26"/>
    <mergeCell ref="A39:C41"/>
    <mergeCell ref="F27:G29"/>
    <mergeCell ref="H27:I29"/>
    <mergeCell ref="D20:E20"/>
    <mergeCell ref="AZ24:BB26"/>
    <mergeCell ref="AI2:AQ3"/>
    <mergeCell ref="AB33:AC35"/>
    <mergeCell ref="T33:U35"/>
    <mergeCell ref="AD33:AE35"/>
    <mergeCell ref="J19:K19"/>
    <mergeCell ref="V33:W35"/>
    <mergeCell ref="N36:O38"/>
    <mergeCell ref="T9:AE9"/>
    <mergeCell ref="L19:M19"/>
    <mergeCell ref="AR27:AS29"/>
    <mergeCell ref="AT27:AU29"/>
    <mergeCell ref="P2:S3"/>
    <mergeCell ref="AR9:AS9"/>
    <mergeCell ref="AN20:AO20"/>
    <mergeCell ref="T11:AE11"/>
    <mergeCell ref="AP20:AQ20"/>
    <mergeCell ref="A21:C23"/>
    <mergeCell ref="AH20:AI20"/>
    <mergeCell ref="AX36:AY38"/>
    <mergeCell ref="AR13:AS13"/>
    <mergeCell ref="V39:W41"/>
    <mergeCell ref="AD30:AE32"/>
    <mergeCell ref="AF30:AG32"/>
    <mergeCell ref="AR15:AS15"/>
    <mergeCell ref="AI5:AQ5"/>
    <mergeCell ref="A24:C26"/>
    <mergeCell ref="T4:AE4"/>
    <mergeCell ref="J39:K41"/>
    <mergeCell ref="V21:W23"/>
    <mergeCell ref="N24:O26"/>
    <mergeCell ref="X21:Y23"/>
    <mergeCell ref="P24:Q26"/>
    <mergeCell ref="AI16:AQ16"/>
    <mergeCell ref="AT24:AU26"/>
    <mergeCell ref="T17:AE17"/>
    <mergeCell ref="P27:Q29"/>
    <mergeCell ref="J20:K20"/>
    <mergeCell ref="L20:M20"/>
    <mergeCell ref="P9:S9"/>
    <mergeCell ref="AZ27:BB29"/>
    <mergeCell ref="AV19:AW19"/>
    <mergeCell ref="AJ33:AK35"/>
    <mergeCell ref="AR5:AS5"/>
    <mergeCell ref="P11:S11"/>
    <mergeCell ref="AV20:AW20"/>
    <mergeCell ref="AX20:AY20"/>
    <mergeCell ref="AX39:AY41"/>
    <mergeCell ref="AI6:AQ6"/>
    <mergeCell ref="AY10:BB10"/>
    <mergeCell ref="A19:C20"/>
    <mergeCell ref="AP21:AQ23"/>
    <mergeCell ref="AI18:AU18"/>
    <mergeCell ref="AF27:AM29"/>
    <mergeCell ref="AI4:AQ4"/>
    <mergeCell ref="D21:E23"/>
    <mergeCell ref="AD19:AE19"/>
    <mergeCell ref="T13:AE13"/>
    <mergeCell ref="T7:AE7"/>
    <mergeCell ref="V24:W26"/>
    <mergeCell ref="X24:Y26"/>
    <mergeCell ref="R27:S29"/>
    <mergeCell ref="AI17:AQ17"/>
    <mergeCell ref="AL33:AM35"/>
    <mergeCell ref="P17:S17"/>
    <mergeCell ref="T19:U19"/>
    <mergeCell ref="D30:E32"/>
    <mergeCell ref="AT6:AU6"/>
    <mergeCell ref="AB20:AC20"/>
    <mergeCell ref="T20:U20"/>
    <mergeCell ref="AD20:AE20"/>
    <mergeCell ref="P12:S12"/>
    <mergeCell ref="AL36:AM38"/>
    <mergeCell ref="AD39:AE41"/>
    <mergeCell ref="AL30:AM32"/>
    <mergeCell ref="AF39:AG41"/>
    <mergeCell ref="AN30:AO32"/>
    <mergeCell ref="P14:S14"/>
    <mergeCell ref="AI12:AQ12"/>
    <mergeCell ref="AI14:AQ14"/>
    <mergeCell ref="AI13:AQ13"/>
    <mergeCell ref="AF21:AG23"/>
    <mergeCell ref="T15:AE15"/>
    <mergeCell ref="D24:E26"/>
    <mergeCell ref="P7:S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A1:BB41"/>
  <sheetViews>
    <sheetView topLeftCell="A13" workbookViewId="0">
      <selection activeCell="AP30" sqref="AP30:AQ32"/>
    </sheetView>
  </sheetViews>
  <sheetFormatPr baseColWidth="8" defaultRowHeight="18"/>
  <cols>
    <col width="3.5703125" customWidth="1" style="937" min="1" max="5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LAB Workshop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891" t="n"/>
      <c r="Y21" s="998" t="n"/>
      <c r="Z21" s="891" t="n"/>
      <c r="AA21" s="998" t="n"/>
      <c r="AB21" s="891" t="n"/>
      <c r="AC21" s="998" t="n"/>
      <c r="AD21" s="891" t="n"/>
      <c r="AE21" s="998" t="n"/>
      <c r="AF21" s="891" t="n"/>
      <c r="AG21" s="998" t="n"/>
      <c r="AH21" s="891" t="n"/>
      <c r="AI21" s="998" t="n"/>
      <c r="AJ21" s="891" t="n"/>
      <c r="AK21" s="998" t="n"/>
      <c r="AL21" s="1052" t="inlineStr">
        <is>
          <t>ENGCV801 (T) อ.ปิ่นแก้ว (1,0)</t>
        </is>
      </c>
      <c r="AM21" s="1022" t="n"/>
      <c r="AN21" s="1022" t="n"/>
      <c r="AO21" s="1023" t="n"/>
      <c r="AP21" s="1053" t="inlineStr">
        <is>
          <t xml:space="preserve">ENGCV801 (L) Civil Engineering Workshop อ.สุทิน (0,3) </t>
        </is>
      </c>
      <c r="AQ21" s="1022" t="n"/>
      <c r="AR21" s="1022" t="n"/>
      <c r="AS21" s="1022" t="n"/>
      <c r="AT21" s="1022" t="n"/>
      <c r="AU21" s="1022" t="n"/>
      <c r="AV21" s="1022" t="n"/>
      <c r="AW21" s="1022" t="n"/>
      <c r="AX21" s="1022" t="n"/>
      <c r="AY21" s="1022" t="n"/>
      <c r="AZ21" s="1022" t="n"/>
      <c r="BA21" s="1023" t="n"/>
      <c r="BB21" s="247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24" t="n"/>
      <c r="AO22" s="1025" t="n"/>
      <c r="AP22" s="1024" t="n"/>
      <c r="BA22" s="1025" t="n"/>
      <c r="BB22" s="247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26" t="n"/>
      <c r="AM23" s="1027" t="n"/>
      <c r="AN23" s="1027" t="n"/>
      <c r="AO23" s="1028" t="n"/>
      <c r="AP23" s="1026" t="n"/>
      <c r="AQ23" s="1027" t="n"/>
      <c r="AR23" s="1027" t="n"/>
      <c r="AS23" s="1027" t="n"/>
      <c r="AT23" s="1027" t="n"/>
      <c r="AU23" s="1027" t="n"/>
      <c r="AV23" s="1027" t="n"/>
      <c r="AW23" s="1027" t="n"/>
      <c r="AX23" s="1027" t="n"/>
      <c r="AY23" s="1027" t="n"/>
      <c r="AZ23" s="1027" t="n"/>
      <c r="BA23" s="1028" t="n"/>
      <c r="BB23" s="247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1005" t="inlineStr">
        <is>
          <t>TEDCV931 ปฏิบัติงานเทคนิคก่อสร้าง 2 (ท1 ป3)
อ.อัครพงษ์
ค.อ.บ.ยธ. ปี 1</t>
        </is>
      </c>
      <c r="E24" s="1006" t="n"/>
      <c r="F24" s="1006" t="n"/>
      <c r="G24" s="1006" t="n"/>
      <c r="H24" s="1006" t="n"/>
      <c r="I24" s="1006" t="n"/>
      <c r="J24" s="1006" t="n"/>
      <c r="K24" s="1006" t="n"/>
      <c r="L24" s="1006" t="n"/>
      <c r="M24" s="1006" t="n"/>
      <c r="N24" s="1006" t="n"/>
      <c r="O24" s="1006" t="n"/>
      <c r="P24" s="1006" t="n"/>
      <c r="Q24" s="1006" t="n"/>
      <c r="R24" s="1006" t="n"/>
      <c r="S24" s="1007" t="n"/>
      <c r="T24" s="891" t="n"/>
      <c r="U24" s="998" t="n"/>
      <c r="V24" s="891" t="n"/>
      <c r="W24" s="998" t="n"/>
      <c r="X24" s="1005" t="inlineStr">
        <is>
          <t>TEDCV931 ปฏิบัติงานเทคนิคก่อสร้าง 2 (ป3)
อ.อัครพงษ์
ค.อ.บ.ยธ. ปี 1</t>
        </is>
      </c>
      <c r="Y24" s="1006" t="n"/>
      <c r="Z24" s="1006" t="n"/>
      <c r="AA24" s="1006" t="n"/>
      <c r="AB24" s="1006" t="n"/>
      <c r="AC24" s="1006" t="n"/>
      <c r="AD24" s="1006" t="n"/>
      <c r="AE24" s="1006" t="n"/>
      <c r="AF24" s="1006" t="n"/>
      <c r="AG24" s="1006" t="n"/>
      <c r="AH24" s="1006" t="n"/>
      <c r="AI24" s="1007" t="n"/>
      <c r="AJ24" s="891" t="n"/>
      <c r="AK24" s="998" t="n"/>
      <c r="AL24" s="1053" t="inlineStr">
        <is>
          <t xml:space="preserve">ENGCV801 (L) Civil Engineering Workshopอ.สุทิน (0,3) </t>
        </is>
      </c>
      <c r="AM24" s="1022" t="n"/>
      <c r="AN24" s="1022" t="n"/>
      <c r="AO24" s="1022" t="n"/>
      <c r="AP24" s="1022" t="n"/>
      <c r="AQ24" s="1022" t="n"/>
      <c r="AR24" s="1022" t="n"/>
      <c r="AS24" s="1022" t="n"/>
      <c r="AT24" s="1022" t="n"/>
      <c r="AU24" s="1022" t="n"/>
      <c r="AV24" s="1022" t="n"/>
      <c r="AW24" s="1023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11" t="n"/>
      <c r="S25" s="1012" t="n"/>
      <c r="T25" s="1009" t="n"/>
      <c r="U25" s="1010" t="n"/>
      <c r="V25" s="1009" t="n"/>
      <c r="W25" s="1010" t="n"/>
      <c r="X25" s="1011" t="n"/>
      <c r="AI25" s="1012" t="n"/>
      <c r="AJ25" s="1009" t="n"/>
      <c r="AK25" s="1010" t="n"/>
      <c r="AL25" s="1024" t="n"/>
      <c r="AW25" s="1025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13" t="n"/>
      <c r="E26" s="1014" t="n"/>
      <c r="F26" s="1014" t="n"/>
      <c r="G26" s="1014" t="n"/>
      <c r="H26" s="1014" t="n"/>
      <c r="I26" s="1014" t="n"/>
      <c r="J26" s="1014" t="n"/>
      <c r="K26" s="1014" t="n"/>
      <c r="L26" s="1014" t="n"/>
      <c r="M26" s="1014" t="n"/>
      <c r="N26" s="1014" t="n"/>
      <c r="O26" s="1014" t="n"/>
      <c r="P26" s="1014" t="n"/>
      <c r="Q26" s="1014" t="n"/>
      <c r="R26" s="1014" t="n"/>
      <c r="S26" s="1015" t="n"/>
      <c r="T26" s="1002" t="n"/>
      <c r="U26" s="1004" t="n"/>
      <c r="V26" s="1002" t="n"/>
      <c r="W26" s="1004" t="n"/>
      <c r="X26" s="1013" t="n"/>
      <c r="Y26" s="1014" t="n"/>
      <c r="Z26" s="1014" t="n"/>
      <c r="AA26" s="1014" t="n"/>
      <c r="AB26" s="1014" t="n"/>
      <c r="AC26" s="1014" t="n"/>
      <c r="AD26" s="1014" t="n"/>
      <c r="AE26" s="1014" t="n"/>
      <c r="AF26" s="1014" t="n"/>
      <c r="AG26" s="1014" t="n"/>
      <c r="AH26" s="1014" t="n"/>
      <c r="AI26" s="1015" t="n"/>
      <c r="AJ26" s="1002" t="n"/>
      <c r="AK26" s="1004" t="n"/>
      <c r="AL26" s="1026" t="n"/>
      <c r="AM26" s="1027" t="n"/>
      <c r="AN26" s="1027" t="n"/>
      <c r="AO26" s="1027" t="n"/>
      <c r="AP26" s="1027" t="n"/>
      <c r="AQ26" s="1027" t="n"/>
      <c r="AR26" s="1027" t="n"/>
      <c r="AS26" s="1027" t="n"/>
      <c r="AT26" s="1027" t="n"/>
      <c r="AU26" s="1027" t="n"/>
      <c r="AV26" s="1027" t="n"/>
      <c r="AW26" s="1028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891" t="n"/>
      <c r="E27" s="998" t="n"/>
      <c r="F27" s="891" t="n"/>
      <c r="G27" s="998" t="n"/>
      <c r="H27" s="891" t="n"/>
      <c r="I27" s="998" t="n"/>
      <c r="J27" s="891" t="n"/>
      <c r="K27" s="998" t="n"/>
      <c r="L27" s="891" t="n"/>
      <c r="M27" s="998" t="n"/>
      <c r="N27" s="891" t="n"/>
      <c r="O27" s="998" t="n"/>
      <c r="P27" s="891" t="n"/>
      <c r="Q27" s="998" t="n"/>
      <c r="R27" s="891" t="n"/>
      <c r="S27" s="998" t="n"/>
      <c r="T27" s="891" t="n"/>
      <c r="U27" s="998" t="n"/>
      <c r="V27" s="891" t="n"/>
      <c r="W27" s="998" t="n"/>
      <c r="X27" s="891" t="n"/>
      <c r="Y27" s="998" t="n"/>
      <c r="Z27" s="891" t="n"/>
      <c r="AA27" s="998" t="n"/>
      <c r="AB27" s="891" t="n"/>
      <c r="AC27" s="998" t="n"/>
      <c r="AD27" s="891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09" t="n"/>
      <c r="I28" s="1010" t="n"/>
      <c r="J28" s="1009" t="n"/>
      <c r="K28" s="1010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09" t="n"/>
      <c r="U28" s="1010" t="n"/>
      <c r="V28" s="1009" t="n"/>
      <c r="W28" s="1010" t="n"/>
      <c r="X28" s="1009" t="n"/>
      <c r="Y28" s="1010" t="n"/>
      <c r="Z28" s="1009" t="n"/>
      <c r="AA28" s="1010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02" t="n"/>
      <c r="I29" s="1004" t="n"/>
      <c r="J29" s="1002" t="n"/>
      <c r="K29" s="1004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02" t="n"/>
      <c r="U29" s="1004" t="n"/>
      <c r="V29" s="1002" t="n"/>
      <c r="W29" s="1004" t="n"/>
      <c r="X29" s="1002" t="n"/>
      <c r="Y29" s="1004" t="n"/>
      <c r="Z29" s="1002" t="n"/>
      <c r="AA29" s="1004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52" t="inlineStr">
        <is>
          <t>ENGCV801 (T) อ.สุทิน (1,0)</t>
        </is>
      </c>
      <c r="E33" s="1022" t="n"/>
      <c r="F33" s="1022" t="n"/>
      <c r="G33" s="1023" t="n"/>
      <c r="H33" s="1053" t="inlineStr">
        <is>
          <t>ENGCV801 (L) Civil Engineering Workshop อ.สุทิน (0,3) อ.ปิ่นแก้ว (0,3) workshop</t>
        </is>
      </c>
      <c r="I33" s="1022" t="n"/>
      <c r="J33" s="1022" t="n"/>
      <c r="K33" s="1022" t="n"/>
      <c r="L33" s="1022" t="n"/>
      <c r="M33" s="1022" t="n"/>
      <c r="N33" s="1022" t="n"/>
      <c r="O33" s="1022" t="n"/>
      <c r="P33" s="1022" t="n"/>
      <c r="Q33" s="1022" t="n"/>
      <c r="R33" s="1022" t="n"/>
      <c r="S33" s="1023" t="n"/>
      <c r="T33" s="266" t="n"/>
      <c r="U33" s="1054" t="n"/>
      <c r="V33" s="266" t="n"/>
      <c r="W33" s="1054" t="n"/>
      <c r="X33" s="1053" t="inlineStr">
        <is>
          <t>ENGCV801 (L) Civil Engineering Workshopอ.สุทิน (0,3) อ.ปิ่นแก้ว (0,3) workshop</t>
        </is>
      </c>
      <c r="Y33" s="1022" t="n"/>
      <c r="Z33" s="1022" t="n"/>
      <c r="AA33" s="1022" t="n"/>
      <c r="AB33" s="1022" t="n"/>
      <c r="AC33" s="1022" t="n"/>
      <c r="AD33" s="1022" t="n"/>
      <c r="AE33" s="1022" t="n"/>
      <c r="AF33" s="1022" t="n"/>
      <c r="AG33" s="1022" t="n"/>
      <c r="AH33" s="1022" t="n"/>
      <c r="AI33" s="1023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24" t="n"/>
      <c r="G34" s="1025" t="n"/>
      <c r="H34" s="1024" t="n"/>
      <c r="S34" s="1025" t="n"/>
      <c r="T34" s="1055" t="n"/>
      <c r="U34" s="1056" t="n"/>
      <c r="V34" s="1055" t="n"/>
      <c r="W34" s="1056" t="n"/>
      <c r="X34" s="1024" t="n"/>
      <c r="AI34" s="1025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26" t="n"/>
      <c r="E35" s="1027" t="n"/>
      <c r="F35" s="1027" t="n"/>
      <c r="G35" s="1028" t="n"/>
      <c r="H35" s="1026" t="n"/>
      <c r="I35" s="1027" t="n"/>
      <c r="J35" s="1027" t="n"/>
      <c r="K35" s="1027" t="n"/>
      <c r="L35" s="1027" t="n"/>
      <c r="M35" s="1027" t="n"/>
      <c r="N35" s="1027" t="n"/>
      <c r="O35" s="1027" t="n"/>
      <c r="P35" s="1027" t="n"/>
      <c r="Q35" s="1027" t="n"/>
      <c r="R35" s="1027" t="n"/>
      <c r="S35" s="1028" t="n"/>
      <c r="T35" s="1057" t="n"/>
      <c r="U35" s="1058" t="n"/>
      <c r="V35" s="1057" t="n"/>
      <c r="W35" s="1058" t="n"/>
      <c r="X35" s="1026" t="n"/>
      <c r="Y35" s="1027" t="n"/>
      <c r="Z35" s="1027" t="n"/>
      <c r="AA35" s="1027" t="n"/>
      <c r="AB35" s="1027" t="n"/>
      <c r="AC35" s="1027" t="n"/>
      <c r="AD35" s="1027" t="n"/>
      <c r="AE35" s="1027" t="n"/>
      <c r="AF35" s="1027" t="n"/>
      <c r="AG35" s="1027" t="n"/>
      <c r="AH35" s="1027" t="n"/>
      <c r="AI35" s="1028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294">
    <mergeCell ref="AT17:AU17"/>
    <mergeCell ref="AY11:BB11"/>
    <mergeCell ref="D20:E20"/>
    <mergeCell ref="T10:AE10"/>
    <mergeCell ref="AZ24:BB26"/>
    <mergeCell ref="C5:K9"/>
    <mergeCell ref="N20:O20"/>
    <mergeCell ref="AZ33:BB35"/>
    <mergeCell ref="P20:Q20"/>
    <mergeCell ref="L27:M29"/>
    <mergeCell ref="T24:U26"/>
    <mergeCell ref="AX19:AY19"/>
    <mergeCell ref="N27:O29"/>
    <mergeCell ref="AI2:AQ3"/>
    <mergeCell ref="T33:U35"/>
    <mergeCell ref="J19:K19"/>
    <mergeCell ref="N36:O38"/>
    <mergeCell ref="X27:Y29"/>
    <mergeCell ref="AN33:AO35"/>
    <mergeCell ref="AF36:AG38"/>
    <mergeCell ref="Z27:AA29"/>
    <mergeCell ref="V33:W35"/>
    <mergeCell ref="T9:AE9"/>
    <mergeCell ref="D33:G35"/>
    <mergeCell ref="L19:M19"/>
    <mergeCell ref="AY6:BB6"/>
    <mergeCell ref="AR27:AS29"/>
    <mergeCell ref="AT27:AU29"/>
    <mergeCell ref="P2:S3"/>
    <mergeCell ref="AY15:BB15"/>
    <mergeCell ref="AR9:AS9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H39:I41"/>
    <mergeCell ref="P36:Q38"/>
    <mergeCell ref="AX36:AY38"/>
    <mergeCell ref="AR13:AS13"/>
    <mergeCell ref="R30:S32"/>
    <mergeCell ref="J30:K32"/>
    <mergeCell ref="T6:AE6"/>
    <mergeCell ref="L30:M32"/>
    <mergeCell ref="V39:W41"/>
    <mergeCell ref="AD30:AE32"/>
    <mergeCell ref="X20:Y20"/>
    <mergeCell ref="AF30:AG32"/>
    <mergeCell ref="AR6:AS6"/>
    <mergeCell ref="AY13:BB13"/>
    <mergeCell ref="AY4:BB4"/>
    <mergeCell ref="AR15:AS15"/>
    <mergeCell ref="AI5:AQ5"/>
    <mergeCell ref="P6:S6"/>
    <mergeCell ref="P39:Q41"/>
    <mergeCell ref="AH36:AI38"/>
    <mergeCell ref="Z39:AA41"/>
    <mergeCell ref="AH30:AI32"/>
    <mergeCell ref="AB39:AC41"/>
    <mergeCell ref="AR12:AS12"/>
    <mergeCell ref="AJ30:AK32"/>
    <mergeCell ref="A24:C26"/>
    <mergeCell ref="AL39:AM41"/>
    <mergeCell ref="AT30:AU32"/>
    <mergeCell ref="AN39:AO41"/>
    <mergeCell ref="T14:AE14"/>
    <mergeCell ref="AV30:AW32"/>
    <mergeCell ref="AX30:AY32"/>
    <mergeCell ref="T4:AE4"/>
    <mergeCell ref="J21:K23"/>
    <mergeCell ref="L21:M23"/>
    <mergeCell ref="AZ30:BB32"/>
    <mergeCell ref="J39:K41"/>
    <mergeCell ref="AY5:BB5"/>
    <mergeCell ref="AR7:AS7"/>
    <mergeCell ref="AI15:AQ15"/>
    <mergeCell ref="AT13:AU13"/>
    <mergeCell ref="AT7:AU7"/>
    <mergeCell ref="V21:W23"/>
    <mergeCell ref="X21:Y23"/>
    <mergeCell ref="AT16:AU16"/>
    <mergeCell ref="D19:E19"/>
    <mergeCell ref="AL21:AO23"/>
    <mergeCell ref="F19:G19"/>
    <mergeCell ref="R19:S19"/>
    <mergeCell ref="AI7:AQ7"/>
    <mergeCell ref="AT8:AU8"/>
    <mergeCell ref="AI16:AQ16"/>
    <mergeCell ref="AP33:AQ35"/>
    <mergeCell ref="X24:AI26"/>
    <mergeCell ref="V19:W19"/>
    <mergeCell ref="AR2:AS3"/>
    <mergeCell ref="F20:G20"/>
    <mergeCell ref="X19:Y19"/>
    <mergeCell ref="AT2:AU3"/>
    <mergeCell ref="D27:E29"/>
    <mergeCell ref="AP19:AQ19"/>
    <mergeCell ref="T8:AE8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L20:M20"/>
    <mergeCell ref="P9:S9"/>
    <mergeCell ref="J27:K29"/>
    <mergeCell ref="H36:I38"/>
    <mergeCell ref="AF20:AG20"/>
    <mergeCell ref="AZ27:BB29"/>
    <mergeCell ref="J36:K38"/>
    <mergeCell ref="AV19:AW19"/>
    <mergeCell ref="H19:I19"/>
    <mergeCell ref="O2:O3"/>
    <mergeCell ref="V27:W29"/>
    <mergeCell ref="AJ33:AK35"/>
    <mergeCell ref="AB36:AC38"/>
    <mergeCell ref="AN27:AO29"/>
    <mergeCell ref="AR5:AS5"/>
    <mergeCell ref="AD36:AE38"/>
    <mergeCell ref="AP27:AQ29"/>
    <mergeCell ref="V36:W38"/>
    <mergeCell ref="AP36:AQ38"/>
    <mergeCell ref="AH39:AI41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AT36:AU38"/>
    <mergeCell ref="L36:M38"/>
    <mergeCell ref="D39:E41"/>
    <mergeCell ref="AV36:AW38"/>
    <mergeCell ref="F39:G41"/>
    <mergeCell ref="N30:O32"/>
    <mergeCell ref="P30:Q32"/>
    <mergeCell ref="AX39:AY41"/>
    <mergeCell ref="R39:S41"/>
    <mergeCell ref="H30:I32"/>
    <mergeCell ref="Z30:AA32"/>
    <mergeCell ref="T39:U41"/>
    <mergeCell ref="AD21:AE23"/>
    <mergeCell ref="AB30:AC32"/>
    <mergeCell ref="P13:S13"/>
    <mergeCell ref="AI6:AQ6"/>
    <mergeCell ref="AY10:BB10"/>
    <mergeCell ref="A19:C20"/>
    <mergeCell ref="AI18:AU18"/>
    <mergeCell ref="O18:S18"/>
    <mergeCell ref="AY7:BB7"/>
    <mergeCell ref="AF27:AM29"/>
    <mergeCell ref="AY16:BB16"/>
    <mergeCell ref="AI4:AQ4"/>
    <mergeCell ref="X39:Y41"/>
    <mergeCell ref="P15:S15"/>
    <mergeCell ref="AH21:AI23"/>
    <mergeCell ref="AJ21:AK23"/>
    <mergeCell ref="D21:E23"/>
    <mergeCell ref="AR8:AS8"/>
    <mergeCell ref="AJ39:AK41"/>
    <mergeCell ref="AY18:BB18"/>
    <mergeCell ref="AD19:AE19"/>
    <mergeCell ref="AR10:AS10"/>
    <mergeCell ref="T13:AE13"/>
    <mergeCell ref="T7:AE7"/>
    <mergeCell ref="R21:S23"/>
    <mergeCell ref="AY2:BB3"/>
    <mergeCell ref="T16:AE16"/>
    <mergeCell ref="T21:U23"/>
    <mergeCell ref="R20:S20"/>
    <mergeCell ref="AL24:AW26"/>
    <mergeCell ref="AR16:AS16"/>
    <mergeCell ref="V24:W26"/>
    <mergeCell ref="AT10:AU10"/>
    <mergeCell ref="R27:S29"/>
    <mergeCell ref="AT19:AU19"/>
    <mergeCell ref="N19:O19"/>
    <mergeCell ref="T18:AE18"/>
    <mergeCell ref="R36:S38"/>
    <mergeCell ref="AR33:AS35"/>
    <mergeCell ref="P19:Q19"/>
    <mergeCell ref="AI8:AQ8"/>
    <mergeCell ref="AB27:AC29"/>
    <mergeCell ref="AD27:AE29"/>
    <mergeCell ref="AI17:AQ17"/>
    <mergeCell ref="AT9:AU9"/>
    <mergeCell ref="H33:S35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D30:E32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L36:AM38"/>
    <mergeCell ref="P5:S5"/>
    <mergeCell ref="F30:G32"/>
    <mergeCell ref="AD39:AE41"/>
    <mergeCell ref="D24:S26"/>
    <mergeCell ref="AP39:AQ41"/>
    <mergeCell ref="AL30:AM32"/>
    <mergeCell ref="AF39:AG41"/>
    <mergeCell ref="A27:C29"/>
    <mergeCell ref="AR39:AS41"/>
    <mergeCell ref="AN30:AO32"/>
    <mergeCell ref="P14:S14"/>
    <mergeCell ref="AT20:AU20"/>
    <mergeCell ref="AT14:AU14"/>
    <mergeCell ref="P4:S4"/>
    <mergeCell ref="A33:C35"/>
    <mergeCell ref="AR4:AS4"/>
    <mergeCell ref="AI12:AQ12"/>
    <mergeCell ref="L39:M41"/>
    <mergeCell ref="N21:O23"/>
    <mergeCell ref="AT4:AU4"/>
    <mergeCell ref="AV39:AW41"/>
    <mergeCell ref="N39:O41"/>
    <mergeCell ref="F21:G23"/>
    <mergeCell ref="V30:W32"/>
    <mergeCell ref="P21:Q23"/>
    <mergeCell ref="Z21:AA23"/>
    <mergeCell ref="X30:Y32"/>
    <mergeCell ref="H21:I23"/>
    <mergeCell ref="AB21:AC23"/>
    <mergeCell ref="AY8:BB8"/>
    <mergeCell ref="AY17:BB17"/>
    <mergeCell ref="AI14:AQ14"/>
    <mergeCell ref="AT15:AU15"/>
    <mergeCell ref="AZ39:BB41"/>
    <mergeCell ref="P8:S8"/>
    <mergeCell ref="AI13:AQ13"/>
    <mergeCell ref="AF21:AG23"/>
    <mergeCell ref="T15:AE15"/>
    <mergeCell ref="AP21:BA23"/>
    <mergeCell ref="AJ24:AK26"/>
    <mergeCell ref="A39:C41"/>
    <mergeCell ref="AY9:BB9"/>
    <mergeCell ref="Z19:AA19"/>
    <mergeCell ref="F27:G29"/>
    <mergeCell ref="AB19:AC19"/>
    <mergeCell ref="P7:S7"/>
    <mergeCell ref="AX24:AY26"/>
    <mergeCell ref="H27:I29"/>
    <mergeCell ref="P16:S16"/>
    <mergeCell ref="T27:U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A1:BB41"/>
  <sheetViews>
    <sheetView topLeftCell="A21" workbookViewId="0">
      <selection activeCell="P36" sqref="A2:BB41"/>
    </sheetView>
  </sheetViews>
  <sheetFormatPr baseColWidth="8" defaultRowHeight="18"/>
  <cols>
    <col width="3.5703125" customWidth="1" style="937" min="1" max="5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B3" s="937" t="n"/>
      <c r="C3" s="937" t="n"/>
      <c r="D3" s="937" t="n"/>
      <c r="E3" s="937" t="n"/>
      <c r="F3" s="937" t="n"/>
      <c r="G3" s="937" t="n"/>
      <c r="H3" s="937" t="n"/>
      <c r="I3" s="937" t="n"/>
      <c r="J3" s="937" t="n"/>
      <c r="K3" s="937" t="n"/>
      <c r="L3" s="937" t="n"/>
      <c r="M3" s="937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B4" s="937" t="n"/>
      <c r="C4" s="937" t="n"/>
      <c r="D4" s="937" t="n"/>
      <c r="E4" s="937" t="n"/>
      <c r="F4" s="937" t="n"/>
      <c r="G4" s="937" t="n"/>
      <c r="H4" s="937" t="n"/>
      <c r="I4" s="937" t="n"/>
      <c r="J4" s="937" t="n"/>
      <c r="K4" s="937" t="n"/>
      <c r="L4" s="937" t="n"/>
      <c r="M4" s="937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B5" s="937" t="n"/>
      <c r="C5" s="1064" t="inlineStr">
        <is>
          <t>LAB Surveying
2/2569</t>
        </is>
      </c>
      <c r="L5" s="937" t="n"/>
      <c r="M5" s="937" t="n"/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B6" s="937" t="n"/>
      <c r="L6" s="937" t="n"/>
      <c r="M6" s="937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B7" s="937" t="n"/>
      <c r="L7" s="937" t="n"/>
      <c r="M7" s="937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B8" s="937" t="n"/>
      <c r="L8" s="937" t="n"/>
      <c r="M8" s="937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B9" s="937" t="n"/>
      <c r="L9" s="937" t="n"/>
      <c r="M9" s="937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B10" s="937" t="n"/>
      <c r="C10" s="937" t="n"/>
      <c r="D10" s="937" t="n"/>
      <c r="E10" s="937" t="n"/>
      <c r="F10" s="937" t="n"/>
      <c r="G10" s="937" t="n"/>
      <c r="H10" s="937" t="n"/>
      <c r="I10" s="937" t="n"/>
      <c r="J10" s="937" t="n"/>
      <c r="K10" s="937" t="n"/>
      <c r="L10" s="937" t="n"/>
      <c r="M10" s="937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B11" s="937" t="n"/>
      <c r="C11" s="937" t="n"/>
      <c r="D11" s="937" t="n"/>
      <c r="E11" s="937" t="n"/>
      <c r="F11" s="937" t="n"/>
      <c r="G11" s="937" t="n"/>
      <c r="H11" s="937" t="n"/>
      <c r="I11" s="937" t="n"/>
      <c r="J11" s="937" t="n"/>
      <c r="K11" s="937" t="n"/>
      <c r="L11" s="937" t="n"/>
      <c r="M11" s="937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B12" s="937" t="n"/>
      <c r="C12" s="937" t="n"/>
      <c r="D12" s="937" t="n"/>
      <c r="E12" s="937" t="n"/>
      <c r="F12" s="937" t="n"/>
      <c r="G12" s="937" t="n"/>
      <c r="H12" s="937" t="n"/>
      <c r="I12" s="937" t="n"/>
      <c r="J12" s="937" t="n"/>
      <c r="K12" s="937" t="n"/>
      <c r="L12" s="937" t="n"/>
      <c r="M12" s="937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C13" s="937" t="n"/>
      <c r="D13" s="937" t="n"/>
      <c r="E13" s="937" t="n"/>
      <c r="F13" s="937" t="n"/>
      <c r="G13" s="937" t="n"/>
      <c r="H13" s="937" t="n"/>
      <c r="I13" s="937" t="n"/>
      <c r="J13" s="937" t="n"/>
      <c r="K13" s="937" t="n"/>
      <c r="L13" s="937" t="n"/>
      <c r="M13" s="937" t="n"/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B14" s="937" t="n"/>
      <c r="C14" s="937" t="n"/>
      <c r="D14" s="937" t="n"/>
      <c r="E14" s="937" t="n"/>
      <c r="F14" s="937" t="n"/>
      <c r="G14" s="937" t="n"/>
      <c r="H14" s="937" t="n"/>
      <c r="I14" s="937" t="n"/>
      <c r="J14" s="937" t="n"/>
      <c r="K14" s="937" t="n"/>
      <c r="L14" s="937" t="n"/>
      <c r="M14" s="937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C15" s="937" t="n"/>
      <c r="D15" s="937" t="n"/>
      <c r="E15" s="937" t="n"/>
      <c r="F15" s="937" t="n"/>
      <c r="G15" s="937" t="n"/>
      <c r="H15" s="937" t="n"/>
      <c r="I15" s="937" t="n"/>
      <c r="J15" s="937" t="n"/>
      <c r="K15" s="937" t="n"/>
      <c r="L15" s="937" t="n"/>
      <c r="M15" s="937" t="n"/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B16" s="937" t="n"/>
      <c r="C16" s="937" t="n"/>
      <c r="D16" s="937" t="n"/>
      <c r="E16" s="937" t="n"/>
      <c r="F16" s="937" t="n"/>
      <c r="G16" s="937" t="n"/>
      <c r="H16" s="937" t="n"/>
      <c r="I16" s="937" t="n"/>
      <c r="J16" s="937" t="n"/>
      <c r="K16" s="937" t="n"/>
      <c r="L16" s="937" t="n"/>
      <c r="M16" s="937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C17" s="937" t="n"/>
      <c r="D17" s="937" t="n"/>
      <c r="E17" s="937" t="n"/>
      <c r="F17" s="937" t="n"/>
      <c r="G17" s="937" t="n"/>
      <c r="H17" s="937" t="n"/>
      <c r="I17" s="937" t="n"/>
      <c r="J17" s="937" t="n"/>
      <c r="K17" s="937" t="n"/>
      <c r="L17" s="937" t="n"/>
      <c r="M17" s="937" t="n"/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891" t="n"/>
      <c r="Y21" s="998" t="n"/>
      <c r="Z21" s="891" t="n"/>
      <c r="AA21" s="998" t="n"/>
      <c r="AB21" s="891" t="n"/>
      <c r="AC21" s="998" t="n"/>
      <c r="AD21" s="891" t="n"/>
      <c r="AE21" s="998" t="n"/>
      <c r="AF21" s="891" t="n"/>
      <c r="AG21" s="998" t="n"/>
      <c r="AH21" s="891" t="n"/>
      <c r="AI21" s="998" t="n"/>
      <c r="AJ21" s="891" t="n"/>
      <c r="AK21" s="998" t="n"/>
      <c r="AL21" s="891" t="n"/>
      <c r="AM21" s="998" t="n"/>
      <c r="AN21" s="891" t="n"/>
      <c r="AO21" s="998" t="n"/>
      <c r="AP21" s="891" t="n"/>
      <c r="AQ21" s="998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09" t="n"/>
      <c r="AM22" s="1010" t="n"/>
      <c r="AN22" s="1009" t="n"/>
      <c r="AO22" s="1010" t="n"/>
      <c r="AP22" s="1009" t="n"/>
      <c r="AQ22" s="1010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02" t="n"/>
      <c r="AM23" s="1004" t="n"/>
      <c r="AN23" s="1002" t="n"/>
      <c r="AO23" s="1004" t="n"/>
      <c r="AP23" s="1002" t="n"/>
      <c r="AQ23" s="1004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1050" t="inlineStr">
        <is>
          <t>ENGCV303 Route Surveying (T) อ.ภาณุ (2,0)  ยธ 5-201</t>
        </is>
      </c>
      <c r="E24" s="997" t="n"/>
      <c r="F24" s="997" t="n"/>
      <c r="G24" s="997" t="n"/>
      <c r="H24" s="997" t="n"/>
      <c r="I24" s="997" t="n"/>
      <c r="J24" s="997" t="n"/>
      <c r="K24" s="998" t="n"/>
      <c r="L24" s="1050" t="inlineStr">
        <is>
          <t>ENGCV303 Route Surveying (L) อ.โชติกาญจน์(0,3) อ.สัตยา(0,3) ยธ 5-201</t>
        </is>
      </c>
      <c r="M24" s="997" t="n"/>
      <c r="N24" s="997" t="n"/>
      <c r="O24" s="997" t="n"/>
      <c r="P24" s="997" t="n"/>
      <c r="Q24" s="997" t="n"/>
      <c r="R24" s="997" t="n"/>
      <c r="S24" s="997" t="n"/>
      <c r="T24" s="997" t="n"/>
      <c r="U24" s="997" t="n"/>
      <c r="V24" s="997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K25" s="1010" t="n"/>
      <c r="L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3" t="n"/>
      <c r="F26" s="1003" t="n"/>
      <c r="G26" s="1003" t="n"/>
      <c r="H26" s="1003" t="n"/>
      <c r="I26" s="1003" t="n"/>
      <c r="J26" s="1003" t="n"/>
      <c r="K26" s="1004" t="n"/>
      <c r="L26" s="1002" t="n"/>
      <c r="M26" s="1003" t="n"/>
      <c r="N26" s="1003" t="n"/>
      <c r="O26" s="1003" t="n"/>
      <c r="P26" s="1003" t="n"/>
      <c r="Q26" s="1003" t="n"/>
      <c r="R26" s="1003" t="n"/>
      <c r="S26" s="1003" t="n"/>
      <c r="T26" s="1003" t="n"/>
      <c r="U26" s="1003" t="n"/>
      <c r="V26" s="1003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891" t="n"/>
      <c r="E27" s="998" t="n"/>
      <c r="F27" s="891" t="n"/>
      <c r="G27" s="998" t="n"/>
      <c r="H27" s="891" t="n"/>
      <c r="I27" s="998" t="n"/>
      <c r="J27" s="891" t="n"/>
      <c r="K27" s="998" t="n"/>
      <c r="L27" s="891" t="n"/>
      <c r="M27" s="998" t="n"/>
      <c r="N27" s="891" t="n"/>
      <c r="O27" s="998" t="n"/>
      <c r="P27" s="891" t="n"/>
      <c r="Q27" s="998" t="n"/>
      <c r="R27" s="891" t="n"/>
      <c r="S27" s="998" t="n"/>
      <c r="T27" s="891" t="n"/>
      <c r="U27" s="998" t="n"/>
      <c r="V27" s="891" t="n"/>
      <c r="W27" s="998" t="n"/>
      <c r="X27" s="891" t="n"/>
      <c r="Y27" s="998" t="n"/>
      <c r="Z27" s="891" t="n"/>
      <c r="AA27" s="998" t="n"/>
      <c r="AB27" s="891" t="n"/>
      <c r="AC27" s="998" t="n"/>
      <c r="AD27" s="891" t="n"/>
      <c r="AE27" s="998" t="n"/>
      <c r="AF27" s="940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09" t="n"/>
      <c r="I28" s="1010" t="n"/>
      <c r="J28" s="1009" t="n"/>
      <c r="K28" s="1010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09" t="n"/>
      <c r="U28" s="1010" t="n"/>
      <c r="V28" s="1009" t="n"/>
      <c r="W28" s="1010" t="n"/>
      <c r="X28" s="1009" t="n"/>
      <c r="Y28" s="1010" t="n"/>
      <c r="Z28" s="1009" t="n"/>
      <c r="AA28" s="1010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02" t="n"/>
      <c r="I29" s="1004" t="n"/>
      <c r="J29" s="1002" t="n"/>
      <c r="K29" s="1004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02" t="n"/>
      <c r="U29" s="1004" t="n"/>
      <c r="V29" s="1002" t="n"/>
      <c r="W29" s="1004" t="n"/>
      <c r="X29" s="1002" t="n"/>
      <c r="Y29" s="1004" t="n"/>
      <c r="Z29" s="1002" t="n"/>
      <c r="AA29" s="1004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59" t="inlineStr">
        <is>
          <t>ENGCV301 (สว)                อ.ภาณุ (3,0) ยธ 5-201</t>
        </is>
      </c>
      <c r="E33" s="1022" t="n"/>
      <c r="F33" s="1022" t="n"/>
      <c r="G33" s="1022" t="n"/>
      <c r="H33" s="1022" t="n"/>
      <c r="I33" s="1022" t="n"/>
      <c r="J33" s="1022" t="n"/>
      <c r="K33" s="1022" t="n"/>
      <c r="L33" s="1022" t="n"/>
      <c r="M33" s="1022" t="n"/>
      <c r="N33" s="1022" t="n"/>
      <c r="O33" s="1023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60" t="inlineStr">
        <is>
          <t>ENGEV106 Surveying Practice for Environmental Engineers (สว) อ.รัชพล(0,3) อ.พืสุต(0,2)  อ.สัตยา (0,1) ยธ 5-201</t>
        </is>
      </c>
      <c r="Y33" s="1022" t="n"/>
      <c r="Z33" s="1022" t="n"/>
      <c r="AA33" s="1022" t="n"/>
      <c r="AB33" s="1022" t="n"/>
      <c r="AC33" s="1022" t="n"/>
      <c r="AD33" s="1022" t="n"/>
      <c r="AE33" s="1022" t="n"/>
      <c r="AF33" s="1022" t="n"/>
      <c r="AG33" s="1022" t="n"/>
      <c r="AH33" s="1022" t="n"/>
      <c r="AI33" s="1023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24" t="n"/>
      <c r="O34" s="1025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24" t="n"/>
      <c r="AI34" s="1025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26" t="n"/>
      <c r="E35" s="1027" t="n"/>
      <c r="F35" s="1027" t="n"/>
      <c r="G35" s="1027" t="n"/>
      <c r="H35" s="1027" t="n"/>
      <c r="I35" s="1027" t="n"/>
      <c r="J35" s="1027" t="n"/>
      <c r="K35" s="1027" t="n"/>
      <c r="L35" s="1027" t="n"/>
      <c r="M35" s="1027" t="n"/>
      <c r="N35" s="1027" t="n"/>
      <c r="O35" s="1028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26" t="n"/>
      <c r="Y35" s="1027" t="n"/>
      <c r="Z35" s="1027" t="n"/>
      <c r="AA35" s="1027" t="n"/>
      <c r="AB35" s="1027" t="n"/>
      <c r="AC35" s="1027" t="n"/>
      <c r="AD35" s="1027" t="n"/>
      <c r="AE35" s="1027" t="n"/>
      <c r="AF35" s="1027" t="n"/>
      <c r="AG35" s="1027" t="n"/>
      <c r="AH35" s="1027" t="n"/>
      <c r="AI35" s="1028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1049" t="inlineStr">
        <is>
          <t>ENGCV303 (T) 
อ.ภาณุ(2,0), ยธ 5-201</t>
        </is>
      </c>
      <c r="Q36" s="997" t="n"/>
      <c r="R36" s="997" t="n"/>
      <c r="S36" s="997" t="n"/>
      <c r="T36" s="997" t="n"/>
      <c r="U36" s="997" t="n"/>
      <c r="V36" s="997" t="n"/>
      <c r="W36" s="998" t="n"/>
      <c r="X36" s="1050" t="inlineStr">
        <is>
          <t>ENGCV303 (L)
อ.ฝ้าย (0,3) อ.ธอ (0,3) ยธ 5-201</t>
        </is>
      </c>
      <c r="Y36" s="997" t="n"/>
      <c r="Z36" s="997" t="n"/>
      <c r="AA36" s="997" t="n"/>
      <c r="AB36" s="997" t="n"/>
      <c r="AC36" s="997" t="n"/>
      <c r="AD36" s="997" t="n"/>
      <c r="AE36" s="997" t="n"/>
      <c r="AF36" s="997" t="n"/>
      <c r="AG36" s="997" t="n"/>
      <c r="AH36" s="997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W37" s="1010" t="n"/>
      <c r="X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3" t="n"/>
      <c r="R38" s="1003" t="n"/>
      <c r="S38" s="1003" t="n"/>
      <c r="T38" s="1003" t="n"/>
      <c r="U38" s="1003" t="n"/>
      <c r="V38" s="1003" t="n"/>
      <c r="W38" s="1004" t="n"/>
      <c r="X38" s="1002" t="n"/>
      <c r="Y38" s="1003" t="n"/>
      <c r="Z38" s="1003" t="n"/>
      <c r="AA38" s="1003" t="n"/>
      <c r="AB38" s="1003" t="n"/>
      <c r="AC38" s="1003" t="n"/>
      <c r="AD38" s="1003" t="n"/>
      <c r="AE38" s="1003" t="n"/>
      <c r="AF38" s="1003" t="n"/>
      <c r="AG38" s="1003" t="n"/>
      <c r="AH38" s="1003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02">
    <mergeCell ref="AT17:AU17"/>
    <mergeCell ref="AY11:BB11"/>
    <mergeCell ref="D20:E20"/>
    <mergeCell ref="T10:AE10"/>
    <mergeCell ref="AZ24:BB26"/>
    <mergeCell ref="C5:K9"/>
    <mergeCell ref="N20:O20"/>
    <mergeCell ref="AZ33:BB35"/>
    <mergeCell ref="P20:Q20"/>
    <mergeCell ref="L27:M29"/>
    <mergeCell ref="AI2:AQ3"/>
    <mergeCell ref="AX19:AY19"/>
    <mergeCell ref="N27:O29"/>
    <mergeCell ref="T33:U35"/>
    <mergeCell ref="J19:K19"/>
    <mergeCell ref="V33:W35"/>
    <mergeCell ref="X27:Y29"/>
    <mergeCell ref="T9:AE9"/>
    <mergeCell ref="L19:M19"/>
    <mergeCell ref="Z27:AA29"/>
    <mergeCell ref="AN33:AO35"/>
    <mergeCell ref="N36:O38"/>
    <mergeCell ref="AR27:AS29"/>
    <mergeCell ref="AY6:BB6"/>
    <mergeCell ref="AT27:AU29"/>
    <mergeCell ref="P2:S3"/>
    <mergeCell ref="AR9:AS9"/>
    <mergeCell ref="AY15:BB15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AX36:AY38"/>
    <mergeCell ref="H39:I41"/>
    <mergeCell ref="AR13:AS13"/>
    <mergeCell ref="R30:S32"/>
    <mergeCell ref="J30:K32"/>
    <mergeCell ref="T6:AE6"/>
    <mergeCell ref="L30:M32"/>
    <mergeCell ref="V39:W41"/>
    <mergeCell ref="AD30:AE32"/>
    <mergeCell ref="X20:Y20"/>
    <mergeCell ref="AF30:AG32"/>
    <mergeCell ref="AR6:AS6"/>
    <mergeCell ref="AY4:BB4"/>
    <mergeCell ref="AY13:BB13"/>
    <mergeCell ref="AR15:AS15"/>
    <mergeCell ref="AI5:AQ5"/>
    <mergeCell ref="P6:S6"/>
    <mergeCell ref="P39:Q41"/>
    <mergeCell ref="Z39:AA41"/>
    <mergeCell ref="AH30:AI32"/>
    <mergeCell ref="AR12:AS12"/>
    <mergeCell ref="AL21:AM23"/>
    <mergeCell ref="A24:C26"/>
    <mergeCell ref="AJ30:AK32"/>
    <mergeCell ref="AN21:AO23"/>
    <mergeCell ref="AL39:AM41"/>
    <mergeCell ref="AB39:AC41"/>
    <mergeCell ref="AT30:AU32"/>
    <mergeCell ref="AN39:AO41"/>
    <mergeCell ref="T14:AE14"/>
    <mergeCell ref="AV30:AW32"/>
    <mergeCell ref="AX30:AY32"/>
    <mergeCell ref="T4:AE4"/>
    <mergeCell ref="J21:K23"/>
    <mergeCell ref="L21:M23"/>
    <mergeCell ref="AZ30:BB32"/>
    <mergeCell ref="J39:K41"/>
    <mergeCell ref="AY5:BB5"/>
    <mergeCell ref="AR7:AS7"/>
    <mergeCell ref="AT13:AU13"/>
    <mergeCell ref="AI15:AQ15"/>
    <mergeCell ref="AT7:AU7"/>
    <mergeCell ref="X21:Y23"/>
    <mergeCell ref="V21:W23"/>
    <mergeCell ref="AT16:AU16"/>
    <mergeCell ref="D19:E19"/>
    <mergeCell ref="Z24:AA26"/>
    <mergeCell ref="F19:G19"/>
    <mergeCell ref="P33:Q35"/>
    <mergeCell ref="AB24:AC26"/>
    <mergeCell ref="R33:S35"/>
    <mergeCell ref="AD24:AE26"/>
    <mergeCell ref="R19:S19"/>
    <mergeCell ref="AN24:AO26"/>
    <mergeCell ref="L24:W26"/>
    <mergeCell ref="AI7:AQ7"/>
    <mergeCell ref="AF24:AG26"/>
    <mergeCell ref="AT8:AU8"/>
    <mergeCell ref="AI16:AQ16"/>
    <mergeCell ref="AH24:AI26"/>
    <mergeCell ref="AP33:AQ35"/>
    <mergeCell ref="V19:W19"/>
    <mergeCell ref="AR2:AS3"/>
    <mergeCell ref="F20:G20"/>
    <mergeCell ref="X19:Y19"/>
    <mergeCell ref="AT2:AU3"/>
    <mergeCell ref="D27:E29"/>
    <mergeCell ref="AP19:AQ19"/>
    <mergeCell ref="T8:AE8"/>
    <mergeCell ref="AT24:AU26"/>
    <mergeCell ref="AR19:AS19"/>
    <mergeCell ref="AH19:AI19"/>
    <mergeCell ref="T17:AE17"/>
    <mergeCell ref="AJ19:AK19"/>
    <mergeCell ref="P10:S10"/>
    <mergeCell ref="P27:Q29"/>
    <mergeCell ref="D36:E38"/>
    <mergeCell ref="F36:G38"/>
    <mergeCell ref="J20:K20"/>
    <mergeCell ref="L20:M20"/>
    <mergeCell ref="P9:S9"/>
    <mergeCell ref="J27:K29"/>
    <mergeCell ref="AV19:AW19"/>
    <mergeCell ref="AF20:AG20"/>
    <mergeCell ref="AZ27:BB29"/>
    <mergeCell ref="H36:I38"/>
    <mergeCell ref="J36:K38"/>
    <mergeCell ref="O2:O3"/>
    <mergeCell ref="H19:I19"/>
    <mergeCell ref="V27:W29"/>
    <mergeCell ref="AR5:AS5"/>
    <mergeCell ref="AJ33:AK35"/>
    <mergeCell ref="AN27:AO29"/>
    <mergeCell ref="AP27:AQ29"/>
    <mergeCell ref="P11:S11"/>
    <mergeCell ref="AP36:AQ38"/>
    <mergeCell ref="AH39:AI4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X36:AI38"/>
    <mergeCell ref="AJ36:AK38"/>
    <mergeCell ref="AX20:AY20"/>
    <mergeCell ref="D24:K26"/>
    <mergeCell ref="AT36:AU38"/>
    <mergeCell ref="D39:E41"/>
    <mergeCell ref="L36:M38"/>
    <mergeCell ref="AV36:AW38"/>
    <mergeCell ref="F39:G41"/>
    <mergeCell ref="N30:O32"/>
    <mergeCell ref="P30:Q32"/>
    <mergeCell ref="AX39:AY41"/>
    <mergeCell ref="H30:I32"/>
    <mergeCell ref="R39:S41"/>
    <mergeCell ref="Z30:AA32"/>
    <mergeCell ref="T39:U41"/>
    <mergeCell ref="AI6:AQ6"/>
    <mergeCell ref="AY10:BB10"/>
    <mergeCell ref="P13:S13"/>
    <mergeCell ref="A19:C20"/>
    <mergeCell ref="AD21:AE23"/>
    <mergeCell ref="AB30:AC32"/>
    <mergeCell ref="AP21:AQ23"/>
    <mergeCell ref="AI18:AU18"/>
    <mergeCell ref="AY7:BB7"/>
    <mergeCell ref="O18:S18"/>
    <mergeCell ref="AF27:AM29"/>
    <mergeCell ref="AI4:AQ4"/>
    <mergeCell ref="AY16:BB16"/>
    <mergeCell ref="X39:Y41"/>
    <mergeCell ref="P15:S15"/>
    <mergeCell ref="AH21:AI23"/>
    <mergeCell ref="AJ21:AK23"/>
    <mergeCell ref="D21:E23"/>
    <mergeCell ref="AR8:AS8"/>
    <mergeCell ref="AJ39:AK41"/>
    <mergeCell ref="AV21:AW23"/>
    <mergeCell ref="AX21:AY23"/>
    <mergeCell ref="AY18:BB18"/>
    <mergeCell ref="AP24:AQ26"/>
    <mergeCell ref="AD19:AE19"/>
    <mergeCell ref="AR10:AS10"/>
    <mergeCell ref="T13:AE13"/>
    <mergeCell ref="T7:AE7"/>
    <mergeCell ref="AZ21:BB23"/>
    <mergeCell ref="P36:W38"/>
    <mergeCell ref="AY2:BB3"/>
    <mergeCell ref="T16:AE16"/>
    <mergeCell ref="R21:S23"/>
    <mergeCell ref="T21:U23"/>
    <mergeCell ref="R20:S20"/>
    <mergeCell ref="AR16:AS16"/>
    <mergeCell ref="AT10:AU10"/>
    <mergeCell ref="X24:Y26"/>
    <mergeCell ref="D33:O35"/>
    <mergeCell ref="R27:S29"/>
    <mergeCell ref="AT19:AU19"/>
    <mergeCell ref="AR24:AS26"/>
    <mergeCell ref="N19:O19"/>
    <mergeCell ref="T18:AE18"/>
    <mergeCell ref="AB27:AC29"/>
    <mergeCell ref="P19:Q19"/>
    <mergeCell ref="AI8:AQ8"/>
    <mergeCell ref="AD27:AE29"/>
    <mergeCell ref="AR33:AS35"/>
    <mergeCell ref="AI17:AQ17"/>
    <mergeCell ref="AT9:AU9"/>
    <mergeCell ref="Z20:AA20"/>
    <mergeCell ref="T2:AE3"/>
    <mergeCell ref="AZ19:BB19"/>
    <mergeCell ref="AR20:AS20"/>
    <mergeCell ref="AL33:AM35"/>
    <mergeCell ref="AI10:AQ10"/>
    <mergeCell ref="AY14:BB14"/>
    <mergeCell ref="P17:S17"/>
    <mergeCell ref="T19:U19"/>
    <mergeCell ref="A30:C32"/>
    <mergeCell ref="AL19:AM19"/>
    <mergeCell ref="AX33:AY35"/>
    <mergeCell ref="AV33:AW35"/>
    <mergeCell ref="AN19:AO19"/>
    <mergeCell ref="AF19:AG19"/>
    <mergeCell ref="AI9:AQ9"/>
    <mergeCell ref="D30:E32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P12:S12"/>
    <mergeCell ref="AZ36:BB38"/>
    <mergeCell ref="T30:U32"/>
    <mergeCell ref="AT12:AU12"/>
    <mergeCell ref="AR14:AS14"/>
    <mergeCell ref="T12:AE12"/>
    <mergeCell ref="AL30:AM32"/>
    <mergeCell ref="P5:S5"/>
    <mergeCell ref="F30:G32"/>
    <mergeCell ref="AN30:AO32"/>
    <mergeCell ref="AL36:AM38"/>
    <mergeCell ref="P14:S14"/>
    <mergeCell ref="AP39:AQ41"/>
    <mergeCell ref="AF39:AG41"/>
    <mergeCell ref="A27:C29"/>
    <mergeCell ref="AR39:AS41"/>
    <mergeCell ref="AT20:AU20"/>
    <mergeCell ref="AT14:AU14"/>
    <mergeCell ref="P4:S4"/>
    <mergeCell ref="A33:C35"/>
    <mergeCell ref="AR4:AS4"/>
    <mergeCell ref="AI12:AQ12"/>
    <mergeCell ref="N21:O23"/>
    <mergeCell ref="AT4:AU4"/>
    <mergeCell ref="F21:G23"/>
    <mergeCell ref="P21:Q23"/>
    <mergeCell ref="H21:I23"/>
    <mergeCell ref="V30:W32"/>
    <mergeCell ref="L39:M41"/>
    <mergeCell ref="Z21:AA23"/>
    <mergeCell ref="X30:Y32"/>
    <mergeCell ref="AV39:AW41"/>
    <mergeCell ref="AB21:AC23"/>
    <mergeCell ref="AY8:BB8"/>
    <mergeCell ref="AY17:BB17"/>
    <mergeCell ref="AD39:AE41"/>
    <mergeCell ref="AI14:AQ14"/>
    <mergeCell ref="AT15:AU15"/>
    <mergeCell ref="AZ39:BB41"/>
    <mergeCell ref="P8:S8"/>
    <mergeCell ref="AI13:AQ13"/>
    <mergeCell ref="AF21:AG23"/>
    <mergeCell ref="T15:AE15"/>
    <mergeCell ref="N39:O41"/>
    <mergeCell ref="AR21:AS23"/>
    <mergeCell ref="AJ24:AK26"/>
    <mergeCell ref="A36:C38"/>
    <mergeCell ref="AT21:AU23"/>
    <mergeCell ref="AL24:AM26"/>
    <mergeCell ref="A39:C41"/>
    <mergeCell ref="AY9:BB9"/>
    <mergeCell ref="Z19:AA19"/>
    <mergeCell ref="F27:G29"/>
    <mergeCell ref="AB19:AC19"/>
    <mergeCell ref="P7:S7"/>
    <mergeCell ref="H27:I29"/>
    <mergeCell ref="AV24:AW26"/>
    <mergeCell ref="AX24:AY26"/>
    <mergeCell ref="P16:S16"/>
    <mergeCell ref="T27:U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4"/>
    <outlinePr summaryBelow="1" summaryRight="1"/>
    <pageSetUpPr/>
  </sheetPr>
  <dimension ref="A1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1"/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LAB Hydraulic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5" t="n"/>
      <c r="E21" s="1007" t="n"/>
      <c r="F21" s="1008" t="n"/>
      <c r="G21" s="1007" t="n"/>
      <c r="H21" s="1008" t="n"/>
      <c r="I21" s="1007" t="n"/>
      <c r="J21" s="1008" t="n"/>
      <c r="K21" s="1007" t="n"/>
      <c r="L21" s="247" t="n"/>
      <c r="M21" s="998" t="n"/>
      <c r="N21" s="247" t="n"/>
      <c r="O21" s="998" t="n"/>
      <c r="P21" s="247" t="n"/>
      <c r="Q21" s="998" t="n"/>
      <c r="R21" s="247" t="n"/>
      <c r="S21" s="998" t="n"/>
      <c r="T21" s="247" t="n"/>
      <c r="U21" s="998" t="n"/>
      <c r="V21" s="247" t="n"/>
      <c r="W21" s="998" t="n"/>
      <c r="X21" s="1066" t="n"/>
      <c r="Y21" s="1007" t="n"/>
      <c r="Z21" s="1008" t="n"/>
      <c r="AA21" s="1007" t="n"/>
      <c r="AB21" s="1008" t="n"/>
      <c r="AC21" s="1007" t="n"/>
      <c r="AD21" s="1008" t="n"/>
      <c r="AE21" s="1007" t="n"/>
      <c r="AF21" s="1005" t="inlineStr">
        <is>
          <t>TEDCV033 ชลศาสตร์ (ป3)
อ.ประดิษฐ์ อ.อัครพงษ์
ค.อ.บ.ยธ. ปี 3</t>
        </is>
      </c>
      <c r="AG21" s="1006" t="n"/>
      <c r="AH21" s="1006" t="n"/>
      <c r="AI21" s="1006" t="n"/>
      <c r="AJ21" s="1006" t="n"/>
      <c r="AK21" s="1006" t="n"/>
      <c r="AL21" s="1006" t="n"/>
      <c r="AM21" s="1006" t="n"/>
      <c r="AN21" s="1006" t="n"/>
      <c r="AO21" s="1006" t="n"/>
      <c r="AP21" s="1006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E22" s="1012" t="n"/>
      <c r="F22" s="1011" t="n"/>
      <c r="G22" s="1012" t="n"/>
      <c r="H22" s="1011" t="n"/>
      <c r="I22" s="1012" t="n"/>
      <c r="J22" s="1011" t="n"/>
      <c r="K22" s="1012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11" t="n"/>
      <c r="Y22" s="1012" t="n"/>
      <c r="Z22" s="1011" t="n"/>
      <c r="AA22" s="1012" t="n"/>
      <c r="AB22" s="1011" t="n"/>
      <c r="AC22" s="1012" t="n"/>
      <c r="AD22" s="1011" t="n"/>
      <c r="AE22" s="1012" t="n"/>
      <c r="AF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5" t="n"/>
      <c r="F23" s="1013" t="n"/>
      <c r="G23" s="1015" t="n"/>
      <c r="H23" s="1013" t="n"/>
      <c r="I23" s="1015" t="n"/>
      <c r="J23" s="1013" t="n"/>
      <c r="K23" s="1015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13" t="n"/>
      <c r="Y23" s="1015" t="n"/>
      <c r="Z23" s="1013" t="n"/>
      <c r="AA23" s="1015" t="n"/>
      <c r="AB23" s="1013" t="n"/>
      <c r="AC23" s="1015" t="n"/>
      <c r="AD23" s="1013" t="n"/>
      <c r="AE23" s="1015" t="n"/>
      <c r="AF23" s="1013" t="n"/>
      <c r="AG23" s="1014" t="n"/>
      <c r="AH23" s="1014" t="n"/>
      <c r="AI23" s="1014" t="n"/>
      <c r="AJ23" s="1014" t="n"/>
      <c r="AK23" s="1014" t="n"/>
      <c r="AL23" s="1014" t="n"/>
      <c r="AM23" s="1014" t="n"/>
      <c r="AN23" s="1014" t="n"/>
      <c r="AO23" s="1014" t="n"/>
      <c r="AP23" s="1014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1039" t="inlineStr">
        <is>
          <t>ENGCV602 Hydraulic Laboratory (สว) อ.รัชพล (0,3)         อ.ประดิษฐ์ (0,3) Lab Hydraulic</t>
        </is>
      </c>
      <c r="E24" s="1006" t="n"/>
      <c r="F24" s="1006" t="n"/>
      <c r="G24" s="1006" t="n"/>
      <c r="H24" s="1006" t="n"/>
      <c r="I24" s="1006" t="n"/>
      <c r="J24" s="1006" t="n"/>
      <c r="K24" s="1006" t="n"/>
      <c r="L24" s="1006" t="n"/>
      <c r="M24" s="1006" t="n"/>
      <c r="N24" s="1006" t="n"/>
      <c r="O24" s="1007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11" t="n"/>
      <c r="O25" s="1012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13" t="n"/>
      <c r="E26" s="1014" t="n"/>
      <c r="F26" s="1014" t="n"/>
      <c r="G26" s="1014" t="n"/>
      <c r="H26" s="1014" t="n"/>
      <c r="I26" s="1014" t="n"/>
      <c r="J26" s="1014" t="n"/>
      <c r="K26" s="1014" t="n"/>
      <c r="L26" s="1014" t="n"/>
      <c r="M26" s="1014" t="n"/>
      <c r="N26" s="1014" t="n"/>
      <c r="O26" s="1015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7" t="inlineStr">
        <is>
          <t>ENGCV602 Hydraulic Laboratory อ.รัชพล (0,3) อ.ประดิษฐ์ (0,3) Lab hydraulic</t>
        </is>
      </c>
      <c r="E27" s="1006" t="n"/>
      <c r="F27" s="1006" t="n"/>
      <c r="G27" s="1006" t="n"/>
      <c r="H27" s="1006" t="n"/>
      <c r="I27" s="1006" t="n"/>
      <c r="J27" s="1006" t="n"/>
      <c r="K27" s="1006" t="n"/>
      <c r="L27" s="1006" t="n"/>
      <c r="M27" s="1006" t="n"/>
      <c r="N27" s="1006" t="n"/>
      <c r="O27" s="1007" t="n"/>
      <c r="P27" s="247" t="n"/>
      <c r="Q27" s="998" t="n"/>
      <c r="R27" s="247" t="n"/>
      <c r="S27" s="998" t="n"/>
      <c r="T27" s="1066" t="n"/>
      <c r="U27" s="1007" t="n"/>
      <c r="V27" s="1008" t="n"/>
      <c r="W27" s="1007" t="n"/>
      <c r="X27" s="1008" t="n"/>
      <c r="Y27" s="1007" t="n"/>
      <c r="Z27" s="1008" t="n"/>
      <c r="AA27" s="1007" t="n"/>
      <c r="AB27" s="1008" t="n"/>
      <c r="AC27" s="1007" t="n"/>
      <c r="AD27" s="1008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O28" s="1012" t="n"/>
      <c r="P28" s="1009" t="n"/>
      <c r="Q28" s="1010" t="n"/>
      <c r="R28" s="1009" t="n"/>
      <c r="S28" s="1010" t="n"/>
      <c r="T28" s="1011" t="n"/>
      <c r="U28" s="1012" t="n"/>
      <c r="V28" s="1011" t="n"/>
      <c r="W28" s="1012" t="n"/>
      <c r="X28" s="1011" t="n"/>
      <c r="Y28" s="1012" t="n"/>
      <c r="Z28" s="1011" t="n"/>
      <c r="AA28" s="1012" t="n"/>
      <c r="AB28" s="1011" t="n"/>
      <c r="AC28" s="1012" t="n"/>
      <c r="AD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4" t="n"/>
      <c r="L29" s="1014" t="n"/>
      <c r="M29" s="1014" t="n"/>
      <c r="N29" s="1014" t="n"/>
      <c r="O29" s="1015" t="n"/>
      <c r="P29" s="1002" t="n"/>
      <c r="Q29" s="1004" t="n"/>
      <c r="R29" s="1002" t="n"/>
      <c r="S29" s="1004" t="n"/>
      <c r="T29" s="1013" t="n"/>
      <c r="U29" s="1015" t="n"/>
      <c r="V29" s="1013" t="n"/>
      <c r="W29" s="1015" t="n"/>
      <c r="X29" s="1013" t="n"/>
      <c r="Y29" s="1015" t="n"/>
      <c r="Z29" s="1013" t="n"/>
      <c r="AA29" s="1015" t="n"/>
      <c r="AB29" s="1013" t="n"/>
      <c r="AC29" s="1015" t="n"/>
      <c r="AD29" s="1013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39" t="inlineStr">
        <is>
          <t>ENGCV602 Hydraulic Laboratory อ.รัชพล (0,3) อ.ประดิษฐ์ (0,3) Lab hydraulic</t>
        </is>
      </c>
      <c r="E30" s="1006" t="n"/>
      <c r="F30" s="1006" t="n"/>
      <c r="G30" s="1006" t="n"/>
      <c r="H30" s="1006" t="n"/>
      <c r="I30" s="1006" t="n"/>
      <c r="J30" s="1006" t="n"/>
      <c r="K30" s="1006" t="n"/>
      <c r="L30" s="1006" t="n"/>
      <c r="M30" s="1006" t="n"/>
      <c r="N30" s="1006" t="n"/>
      <c r="O30" s="1007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11" t="n"/>
      <c r="O31" s="1012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4" t="n"/>
      <c r="F32" s="1014" t="n"/>
      <c r="G32" s="1014" t="n"/>
      <c r="H32" s="1014" t="n"/>
      <c r="I32" s="1014" t="n"/>
      <c r="J32" s="1014" t="n"/>
      <c r="K32" s="1014" t="n"/>
      <c r="L32" s="1014" t="n"/>
      <c r="M32" s="1014" t="n"/>
      <c r="N32" s="1014" t="n"/>
      <c r="O32" s="1015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08">
    <mergeCell ref="T10:AE10"/>
    <mergeCell ref="C5:K9"/>
    <mergeCell ref="H33:I35"/>
    <mergeCell ref="J33:K35"/>
    <mergeCell ref="D27:O29"/>
    <mergeCell ref="X27:Y29"/>
    <mergeCell ref="Z27:AA29"/>
    <mergeCell ref="AY6:BB6"/>
    <mergeCell ref="V20:W20"/>
    <mergeCell ref="AF2:AH2"/>
    <mergeCell ref="AT33:AU35"/>
    <mergeCell ref="AN36:AO38"/>
    <mergeCell ref="AT5:AU5"/>
    <mergeCell ref="P36:Q38"/>
    <mergeCell ref="H39:I41"/>
    <mergeCell ref="R30:S32"/>
    <mergeCell ref="AL39:AM41"/>
    <mergeCell ref="AT30:AU32"/>
    <mergeCell ref="AN39:AO41"/>
    <mergeCell ref="AV30:AW32"/>
    <mergeCell ref="AX30:AY32"/>
    <mergeCell ref="J21:K23"/>
    <mergeCell ref="L21:M23"/>
    <mergeCell ref="AI15:AQ15"/>
    <mergeCell ref="AT16:AU16"/>
    <mergeCell ref="R19:S19"/>
    <mergeCell ref="AF24:AG26"/>
    <mergeCell ref="AH24:AI26"/>
    <mergeCell ref="P10:S10"/>
    <mergeCell ref="H36:I38"/>
    <mergeCell ref="J36:K38"/>
    <mergeCell ref="H19:I19"/>
    <mergeCell ref="AN27:AO29"/>
    <mergeCell ref="AP27:AQ29"/>
    <mergeCell ref="AR17:AS17"/>
    <mergeCell ref="AJ20:AK20"/>
    <mergeCell ref="AR11:AS11"/>
    <mergeCell ref="AL20:AM20"/>
    <mergeCell ref="AT11:AU11"/>
    <mergeCell ref="AT36:AU38"/>
    <mergeCell ref="AV36:AW38"/>
    <mergeCell ref="R39:S41"/>
    <mergeCell ref="Z30:AA32"/>
    <mergeCell ref="T39:U41"/>
    <mergeCell ref="AD21:AE23"/>
    <mergeCell ref="AB30:AC32"/>
    <mergeCell ref="AY16:BB16"/>
    <mergeCell ref="AR8:AS8"/>
    <mergeCell ref="AY18:BB18"/>
    <mergeCell ref="AR10:AS10"/>
    <mergeCell ref="R21:S23"/>
    <mergeCell ref="T21:U23"/>
    <mergeCell ref="R20:S20"/>
    <mergeCell ref="AT19:AU19"/>
    <mergeCell ref="AR33:AS35"/>
    <mergeCell ref="AI9:AQ9"/>
    <mergeCell ref="AV2:AX2"/>
    <mergeCell ref="H20:I20"/>
    <mergeCell ref="AI11:AQ11"/>
    <mergeCell ref="X36:Y38"/>
    <mergeCell ref="Z36:AA38"/>
    <mergeCell ref="T30:U32"/>
    <mergeCell ref="AT12:AU12"/>
    <mergeCell ref="T12:AE12"/>
    <mergeCell ref="AT20:AU20"/>
    <mergeCell ref="AT14:AU14"/>
    <mergeCell ref="P4:S4"/>
    <mergeCell ref="AV39:AW41"/>
    <mergeCell ref="AY17:BB17"/>
    <mergeCell ref="AT15:AU15"/>
    <mergeCell ref="Z19:AA19"/>
    <mergeCell ref="AB19:AC19"/>
    <mergeCell ref="AZ33:BB35"/>
    <mergeCell ref="T24:U26"/>
    <mergeCell ref="AY12:BB12"/>
    <mergeCell ref="AV27:AW29"/>
    <mergeCell ref="AX27:AY29"/>
    <mergeCell ref="T6:AE6"/>
    <mergeCell ref="X20:Y20"/>
    <mergeCell ref="AR6:AS6"/>
    <mergeCell ref="AY13:BB13"/>
    <mergeCell ref="AH36:AI38"/>
    <mergeCell ref="Z39:AA41"/>
    <mergeCell ref="AH30:AI32"/>
    <mergeCell ref="AB39:AC41"/>
    <mergeCell ref="AJ30:AK32"/>
    <mergeCell ref="AZ30:BB32"/>
    <mergeCell ref="AY5:BB5"/>
    <mergeCell ref="D19:E19"/>
    <mergeCell ref="P33:Q35"/>
    <mergeCell ref="F19:G19"/>
    <mergeCell ref="R33:S35"/>
    <mergeCell ref="AN24:AO26"/>
    <mergeCell ref="AI7:AQ7"/>
    <mergeCell ref="AR2:AS3"/>
    <mergeCell ref="F20:G20"/>
    <mergeCell ref="AT2:AU3"/>
    <mergeCell ref="AP19:AQ19"/>
    <mergeCell ref="T8:AE8"/>
    <mergeCell ref="AR19:AS19"/>
    <mergeCell ref="AH19:AI19"/>
    <mergeCell ref="AJ19:AK19"/>
    <mergeCell ref="F33:G35"/>
    <mergeCell ref="V27:W29"/>
    <mergeCell ref="AT39:AU41"/>
    <mergeCell ref="T5:AE5"/>
    <mergeCell ref="AJ36:AK38"/>
    <mergeCell ref="L36:M38"/>
    <mergeCell ref="D39:E41"/>
    <mergeCell ref="F39:G41"/>
    <mergeCell ref="P30:Q32"/>
    <mergeCell ref="P13:S13"/>
    <mergeCell ref="O18:S18"/>
    <mergeCell ref="P15:S15"/>
    <mergeCell ref="AJ39:AK41"/>
    <mergeCell ref="AV21:AW23"/>
    <mergeCell ref="AX21:AY23"/>
    <mergeCell ref="AP24:AQ26"/>
    <mergeCell ref="R24:S26"/>
    <mergeCell ref="AY2:BB3"/>
    <mergeCell ref="T16:AE16"/>
    <mergeCell ref="AR16:AS16"/>
    <mergeCell ref="X33:Y35"/>
    <mergeCell ref="N19:O19"/>
    <mergeCell ref="T18:AE18"/>
    <mergeCell ref="Z33:AA35"/>
    <mergeCell ref="P19:Q19"/>
    <mergeCell ref="AI8:AQ8"/>
    <mergeCell ref="R36:S38"/>
    <mergeCell ref="AT9:AU9"/>
    <mergeCell ref="AZ19:BB19"/>
    <mergeCell ref="AR20:AS20"/>
    <mergeCell ref="A36:C38"/>
    <mergeCell ref="AI10:AQ10"/>
    <mergeCell ref="AY14:BB14"/>
    <mergeCell ref="A30:C32"/>
    <mergeCell ref="AZ20:BB20"/>
    <mergeCell ref="P5:S5"/>
    <mergeCell ref="A27:C29"/>
    <mergeCell ref="AR4:AS4"/>
    <mergeCell ref="L39:M41"/>
    <mergeCell ref="AT4:AU4"/>
    <mergeCell ref="N39:O41"/>
    <mergeCell ref="V30:W32"/>
    <mergeCell ref="Z21:AA23"/>
    <mergeCell ref="X30:Y32"/>
    <mergeCell ref="AB21:AC23"/>
    <mergeCell ref="AZ39:BB41"/>
    <mergeCell ref="P8:S8"/>
    <mergeCell ref="AY9:BB9"/>
    <mergeCell ref="D33:E35"/>
    <mergeCell ref="AV24:AW26"/>
    <mergeCell ref="AX24:AY26"/>
    <mergeCell ref="P16:S16"/>
    <mergeCell ref="T27:U29"/>
    <mergeCell ref="AT17:AU17"/>
    <mergeCell ref="AY11:BB11"/>
    <mergeCell ref="N20:O20"/>
    <mergeCell ref="P20:Q20"/>
    <mergeCell ref="AX19:AY19"/>
    <mergeCell ref="AN33:AO35"/>
    <mergeCell ref="AF36:AG38"/>
    <mergeCell ref="AY15:BB15"/>
    <mergeCell ref="AY4:BB4"/>
    <mergeCell ref="P6:S6"/>
    <mergeCell ref="P39:Q41"/>
    <mergeCell ref="AR12:AS12"/>
    <mergeCell ref="T14:AE14"/>
    <mergeCell ref="AR7:AS7"/>
    <mergeCell ref="AT13:AU13"/>
    <mergeCell ref="AT7:AU7"/>
    <mergeCell ref="Z24:AA26"/>
    <mergeCell ref="AB24:AC26"/>
    <mergeCell ref="AD24:AE26"/>
    <mergeCell ref="AT8:AU8"/>
    <mergeCell ref="AP33:AQ35"/>
    <mergeCell ref="AF33:AG35"/>
    <mergeCell ref="V19:W19"/>
    <mergeCell ref="AH33:AI35"/>
    <mergeCell ref="X19:Y19"/>
    <mergeCell ref="D36:E38"/>
    <mergeCell ref="F36:G38"/>
    <mergeCell ref="AF20:AG20"/>
    <mergeCell ref="O2:O3"/>
    <mergeCell ref="AH39:AI41"/>
    <mergeCell ref="AP36:AQ38"/>
    <mergeCell ref="AP30:AQ32"/>
    <mergeCell ref="AR36:AS38"/>
    <mergeCell ref="AR30:AS32"/>
    <mergeCell ref="AY7:BB7"/>
    <mergeCell ref="X39:Y41"/>
    <mergeCell ref="AZ21:BB23"/>
    <mergeCell ref="L33:M35"/>
    <mergeCell ref="N33:O35"/>
    <mergeCell ref="AT10:AU10"/>
    <mergeCell ref="AR24:AS26"/>
    <mergeCell ref="AB27:AC29"/>
    <mergeCell ref="AD27:AE29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AZ36:BB38"/>
    <mergeCell ref="AR14:AS14"/>
    <mergeCell ref="AP39:AQ41"/>
    <mergeCell ref="AR39:AS41"/>
    <mergeCell ref="A33:C35"/>
    <mergeCell ref="N21:O23"/>
    <mergeCell ref="P21:Q23"/>
    <mergeCell ref="F21:G23"/>
    <mergeCell ref="H21:I23"/>
    <mergeCell ref="AY8:BB8"/>
    <mergeCell ref="AJ24:AK26"/>
    <mergeCell ref="AR21:AS23"/>
    <mergeCell ref="AL24:AM26"/>
    <mergeCell ref="AT21:AU23"/>
    <mergeCell ref="A39:C41"/>
    <mergeCell ref="D20:E20"/>
    <mergeCell ref="AZ24:BB26"/>
    <mergeCell ref="AI2:AQ3"/>
    <mergeCell ref="AB33:AC35"/>
    <mergeCell ref="T33:U35"/>
    <mergeCell ref="AD33:AE35"/>
    <mergeCell ref="J19:K19"/>
    <mergeCell ref="V33:W35"/>
    <mergeCell ref="N36:O38"/>
    <mergeCell ref="T9:AE9"/>
    <mergeCell ref="L19:M19"/>
    <mergeCell ref="AR27:AS29"/>
    <mergeCell ref="AT27:AU29"/>
    <mergeCell ref="P2:S3"/>
    <mergeCell ref="AR9:AS9"/>
    <mergeCell ref="AN20:AO20"/>
    <mergeCell ref="T11:AE11"/>
    <mergeCell ref="AP20:AQ20"/>
    <mergeCell ref="A21:C23"/>
    <mergeCell ref="AH20:AI20"/>
    <mergeCell ref="AX36:AY38"/>
    <mergeCell ref="AR13:AS13"/>
    <mergeCell ref="V39:W41"/>
    <mergeCell ref="AD30:AE32"/>
    <mergeCell ref="AF30:AG32"/>
    <mergeCell ref="AR15:AS15"/>
    <mergeCell ref="AI5:AQ5"/>
    <mergeCell ref="A24:C26"/>
    <mergeCell ref="T4:AE4"/>
    <mergeCell ref="J39:K41"/>
    <mergeCell ref="V21:W23"/>
    <mergeCell ref="P24:Q26"/>
    <mergeCell ref="X21:Y23"/>
    <mergeCell ref="AI16:AQ16"/>
    <mergeCell ref="AT24:AU26"/>
    <mergeCell ref="T17:AE17"/>
    <mergeCell ref="P27:Q29"/>
    <mergeCell ref="J20:K20"/>
    <mergeCell ref="L20:M20"/>
    <mergeCell ref="P9:S9"/>
    <mergeCell ref="AZ27:BB29"/>
    <mergeCell ref="AV19:AW19"/>
    <mergeCell ref="AJ33:AK35"/>
    <mergeCell ref="AB36:AC38"/>
    <mergeCell ref="AR5:AS5"/>
    <mergeCell ref="AD36:AE38"/>
    <mergeCell ref="V36:W38"/>
    <mergeCell ref="D30:O32"/>
    <mergeCell ref="P11:S11"/>
    <mergeCell ref="AV20:AW20"/>
    <mergeCell ref="AX20:AY20"/>
    <mergeCell ref="AX39:AY41"/>
    <mergeCell ref="AI6:AQ6"/>
    <mergeCell ref="AY10:BB10"/>
    <mergeCell ref="A19:C20"/>
    <mergeCell ref="AI18:AU18"/>
    <mergeCell ref="AF27:AM29"/>
    <mergeCell ref="AI4:AQ4"/>
    <mergeCell ref="D21:E23"/>
    <mergeCell ref="AD19:AE19"/>
    <mergeCell ref="T13:AE13"/>
    <mergeCell ref="T7:AE7"/>
    <mergeCell ref="AF21:AQ23"/>
    <mergeCell ref="D24:O26"/>
    <mergeCell ref="V24:W26"/>
    <mergeCell ref="X24:Y26"/>
    <mergeCell ref="R27:S29"/>
    <mergeCell ref="AI17:AQ17"/>
    <mergeCell ref="AL33:AM35"/>
    <mergeCell ref="P17:S17"/>
    <mergeCell ref="T19:U19"/>
    <mergeCell ref="AT6:AU6"/>
    <mergeCell ref="AB20:AC20"/>
    <mergeCell ref="T20:U20"/>
    <mergeCell ref="AD20:AE20"/>
    <mergeCell ref="P12:S12"/>
    <mergeCell ref="AD39:AE41"/>
    <mergeCell ref="AL36:AM38"/>
    <mergeCell ref="AL30:AM32"/>
    <mergeCell ref="AF39:AG41"/>
    <mergeCell ref="AN30:AO32"/>
    <mergeCell ref="P14:S14"/>
    <mergeCell ref="AI12:AQ12"/>
    <mergeCell ref="AI14:AQ14"/>
    <mergeCell ref="AI13:AQ13"/>
    <mergeCell ref="T15:AE15"/>
    <mergeCell ref="P7:S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2022-10-20T04:15:01Z</dcterms:created>
  <dcterms:modified xmlns:dcterms="http://purl.org/dc/terms/" xmlns:xsi="http://www.w3.org/2001/XMLSchema-instance" xsi:type="dcterms:W3CDTF">2026-10-17T14:43:42Z</dcterms:modified>
  <cp:lastModifiedBy>Akharapong Tepkeaw</cp:lastModifiedBy>
  <cp:lastPrinted>2026-05-17T05:34:09Z</cp:lastPrinted>
</cp:coreProperties>
</file>